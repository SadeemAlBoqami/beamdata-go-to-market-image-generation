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e3d4b1f758440b" /></Relationships>
</file>

<file path=xl/workbook.xml><?xml version="1.0" encoding="utf-8"?>
<x:workbook xmlns:x="http://schemas.openxmlformats.org/spreadsheetml/2006/main">
  <x:sheets>
    <x:sheet xmlns:r="http://schemas.openxmlformats.org/officeDocument/2006/relationships" name="Objective Summary" sheetId="1" r:id="R6d02cb0922d04be5"/>
    <x:sheet xmlns:r="http://schemas.openxmlformats.org/officeDocument/2006/relationships" name="Category Latency" sheetId="2" r:id="Rfb836423fd2446aa"/>
    <x:sheet xmlns:r="http://schemas.openxmlformats.org/officeDocument/2006/relationships" name="Normalized Data" sheetId="3" r:id="Rfe12336cb7294ed1"/>
    <x:sheet xmlns:r="http://schemas.openxmlformats.org/officeDocument/2006/relationships" name="Inputs &amp; Notes" sheetId="4" r:id="R5b639d283e2e47a2"/>
    <x:sheet xmlns:r="http://schemas.openxmlformats.org/officeDocument/2006/relationships" name="Human Eval Raw" sheetId="5" r:id="R5a7c75616ffc4223"/>
    <x:sheet xmlns:r="http://schemas.openxmlformats.org/officeDocument/2006/relationships" name="Human Eval Summary" sheetId="6" r:id="R82b90df092e244d4"/>
    <x:sheet xmlns:r="http://schemas.openxmlformats.org/officeDocument/2006/relationships" name="Final Comparison" sheetId="7" r:id="R9e08997d88f54f2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00"/>
    <x:numFmt numFmtId="202" formatCode="0"/>
    <x:numFmt numFmtId="203" formatCode="$0.000000"/>
  </x:numFmts>
  <x:fonts count="5">
    <x:font>
      <x:sz val="11"/>
      <x:name val="Carlito"/>
    </x:font>
    <x:font>
      <x:b/>
      <x:sz val="15"/>
      <x:color rgb="FFFFFFFF"/>
      <x:name val="Carlito"/>
    </x:font>
    <x:font>
      <x:b/>
      <x:sz val="11"/>
      <x:color rgb="FF17365D"/>
      <x:name val="Carlito"/>
    </x:font>
    <x:font>
      <x:b/>
      <x:sz val="11"/>
      <x:name val="Carlito"/>
    </x:font>
    <x:font>
      <x:i/>
      <x:sz val="11"/>
      <x:color rgb="FF7F6000"/>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AF2F8"/>
      </x:patternFill>
    </x:fill>
    <x:fill>
      <x:patternFill patternType="solid">
        <x:fgColor rgb="FFFFF2CC"/>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EAF2F8"/>
      </x:patternFill>
    </x:fill>
  </x:fills>
  <x:borders count="2">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horizontal="center" vertical="center" wrapText="0"/>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531727f9c44c42" /><Relationship Type="http://schemas.openxmlformats.org/officeDocument/2006/relationships/theme" Target="/xl/theme/theme1.xml" Id="R4e55e585ceba4e12" /><Relationship Type="http://schemas.microsoft.com/office/2022/11/relationships/FeaturePropertyBag" Target="/xl/featurePropertyBag/featurePropertyBag.xml" Id="Rbd6f42c5350946b8" /><Relationship Type="http://schemas.openxmlformats.org/officeDocument/2006/relationships/sharedStrings" Target="/xl/sharedStrings.xml" Id="R7824fd77f24f4e56" /><Relationship Type="http://schemas.openxmlformats.org/officeDocument/2006/relationships/worksheet" Target="/xl/worksheets/sheet1.xml" Id="R6d02cb0922d04be5" /><Relationship Type="http://schemas.openxmlformats.org/officeDocument/2006/relationships/worksheet" Target="/xl/worksheets/sheet2.xml" Id="Rfb836423fd2446aa" /><Relationship Type="http://schemas.openxmlformats.org/officeDocument/2006/relationships/worksheet" Target="/xl/worksheets/sheet3.xml" Id="Rfe12336cb7294ed1" /><Relationship Type="http://schemas.openxmlformats.org/officeDocument/2006/relationships/worksheet" Target="/xl/worksheets/sheet4.xml" Id="R5b639d283e2e47a2" /><Relationship Type="http://schemas.openxmlformats.org/officeDocument/2006/relationships/worksheet" Target="/xl/worksheets/sheet5.xml" Id="R5a7c75616ffc4223" /><Relationship Type="http://schemas.openxmlformats.org/officeDocument/2006/relationships/worksheet" Target="/xl/worksheets/sheet6.xml" Id="R82b90df092e244d4" /><Relationship Type="http://schemas.openxmlformats.org/officeDocument/2006/relationships/worksheet" Target="/xl/worksheets/sheet7.xml" Id="R9e08997d88f54f21" /></Relationships>
</file>

<file path=xl/drawings/_rels/drawing1.xml.rels>&#65279;<?xml version="1.0" encoding="utf-8"?><Relationships xmlns="http://schemas.openxmlformats.org/package/2006/relationships"><Relationship Type="http://schemas.openxmlformats.org/officeDocument/2006/relationships/chart" Target="/xl/drawings/charts/chart1.xml" Id="Ref08a427a8a847ee" /><Relationship Type="http://schemas.openxmlformats.org/officeDocument/2006/relationships/chart" Target="/xl/drawings/charts/chart2.xml" Id="R02349310c9214d0b" /></Relationships>
</file>

<file path=xl/drawings/_rels/drawing2.xml.rels>&#65279;<?xml version="1.0" encoding="utf-8"?><Relationships xmlns="http://schemas.openxmlformats.org/package/2006/relationships"><Relationship Type="http://schemas.openxmlformats.org/officeDocument/2006/relationships/chart" Target="/xl/drawings/charts/chart3.xml" Id="R77593a207d0b4ddd" /></Relationships>
</file>

<file path=xl/drawings/_rels/drawing3.xml.rels>&#65279;<?xml version="1.0" encoding="utf-8"?><Relationships xmlns="http://schemas.openxmlformats.org/package/2006/relationships"><Relationship Type="http://schemas.openxmlformats.org/officeDocument/2006/relationships/chart" Target="/xl/drawings/charts/chart4.xml" Id="R100fde51d8ce4ca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Observed average latency by model</a:t>
            </a:r>
          </a:p>
        </c:rich>
      </c:tx>
    </c:title>
    <c:plotArea>
      <c:barChart>
        <c:barDir val="col"/>
        <c:varyColors val="0"/>
        <c:ser>
          <c:idx val="0"/>
          <c:order val="0"/>
          <c:tx>
            <c:v>Series 1</c:v>
          </c:tx>
          <c:cat>
            <c:strLit>
              <c:ptCount val="1"/>
              <c:pt idx="0">
                <c:v>Item 1</c:v>
              </c:pt>
            </c:strLit>
          </c:cat>
          <c:val>
            <c:numLit>
              <c:formatCode>General</c:formatCode>
              <c:ptCount val="1"/>
              <c:pt idx="0">
                <c:v>0</c:v>
              </c:pt>
            </c:numLit>
          </c:val>
        </c:ser>
        <c:ser>
          <c:idx val="1"/>
          <c:order val="1"/>
          <c:tx>
            <c:v>Avg latency (s)</c:v>
          </c:tx>
          <c:cat>
            <c:strRef>
              <c:f>'Objective Summary'!$A$5:$A$9</c:f>
              <c:strCache>
                <c:ptCount val="1"/>
                <c:pt idx="0">
                  <c:v>Item 1</c:v>
                </c:pt>
              </c:strCache>
            </c:strRef>
          </c:cat>
          <c:val>
            <c:numRef>
              <c:f>'Objective Summary'!$H$5:$H$9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Open-source peak VRAM</a:t>
            </a:r>
          </a:p>
        </c:rich>
      </c:tx>
    </c:title>
    <c:plotArea>
      <c:barChart>
        <c:barDir val="col"/>
        <c:varyColors val="0"/>
        <c:ser>
          <c:idx val="0"/>
          <c:order val="0"/>
          <c:tx>
            <c:v>Series 1</c:v>
          </c:tx>
          <c:cat>
            <c:strLit>
              <c:ptCount val="1"/>
              <c:pt idx="0">
                <c:v>Item 1</c:v>
              </c:pt>
            </c:strLit>
          </c:cat>
          <c:val>
            <c:numLit>
              <c:formatCode>General</c:formatCode>
              <c:ptCount val="1"/>
              <c:pt idx="0">
                <c:v>0</c:v>
              </c:pt>
            </c:numLit>
          </c:val>
        </c:ser>
        <c:ser>
          <c:idx val="1"/>
          <c:order val="1"/>
          <c:tx>
            <c:v>Peak VRAM (MiB)</c:v>
          </c:tx>
          <c:cat>
            <c:strRef>
              <c:f>'Objective Summary'!$A$5:$A$6</c:f>
              <c:strCache>
                <c:ptCount val="1"/>
                <c:pt idx="0">
                  <c:v>Item 1</c:v>
                </c:pt>
              </c:strCache>
            </c:strRef>
          </c:cat>
          <c:val>
            <c:numRef>
              <c:f>'Objective Summary'!$L$5:$L$6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Observed latency by category</a:t>
            </a:r>
          </a:p>
        </c:rich>
      </c:tx>
    </c:title>
    <c:plotArea>
      <c:barChart>
        <c:barDir val="col"/>
        <c:varyColors val="0"/>
        <c:ser>
          <c:idx val="0"/>
          <c:order val="0"/>
          <c:tx>
            <c:v>FLUX.2 Klein 4B</c:v>
          </c:tx>
          <c:cat>
            <c:strRef>
              <c:f>'Category Latency'!$A$4:$A$8</c:f>
              <c:strCache>
                <c:ptCount val="0"/>
              </c:strCache>
            </c:strRef>
          </c:cat>
          <c:val>
            <c:numRef>
              <c:f>'Category Latency'!$B$4:$B$8</c:f>
              <c:numCache>
                <c:formatCode>0.000</c:formatCode>
                <c:ptCount val="0"/>
              </c:numCache>
            </c:numRef>
          </c:val>
        </c:ser>
        <c:ser>
          <c:idx val="1"/>
          <c:order val="1"/>
          <c:tx>
            <c:v>Z-Image Turbo</c:v>
          </c:tx>
          <c:cat>
            <c:strRef>
              <c:f>'Category Latency'!$A$4:$A$8</c:f>
              <c:strCache>
                <c:ptCount val="0"/>
              </c:strCache>
            </c:strRef>
          </c:cat>
          <c:val>
            <c:numRef>
              <c:f>'Category Latency'!$C$4:$C$8</c:f>
              <c:numCache>
                <c:formatCode>0.000</c:formatCode>
                <c:ptCount val="0"/>
              </c:numCache>
            </c:numRef>
          </c:val>
        </c:ser>
        <c:ser>
          <c:idx val="2"/>
          <c:order val="2"/>
          <c:tx>
            <c:v>GPT Image 2</c:v>
          </c:tx>
          <c:cat>
            <c:strRef>
              <c:f>'Category Latency'!$A$4:$A$8</c:f>
              <c:strCache>
                <c:ptCount val="0"/>
              </c:strCache>
            </c:strRef>
          </c:cat>
          <c:val>
            <c:numRef>
              <c:f>'Category Latency'!$D$4:$D$8</c:f>
              <c:numCache>
                <c:formatCode>0.000</c:formatCode>
                <c:ptCount val="0"/>
              </c:numCache>
            </c:numRef>
          </c:val>
        </c:ser>
        <c:ser>
          <c:idx val="3"/>
          <c:order val="3"/>
          <c:tx>
            <c:v>FLUX 2 Pro</c:v>
          </c:tx>
          <c:cat>
            <c:strRef>
              <c:f>'Category Latency'!$A$4:$A$8</c:f>
              <c:strCache>
                <c:ptCount val="0"/>
              </c:strCache>
            </c:strRef>
          </c:cat>
          <c:val>
            <c:numRef>
              <c:f>'Category Latency'!$E$4:$E$8</c:f>
              <c:numCache>
                <c:formatCode>0.000</c:formatCode>
                <c:ptCount val="0"/>
              </c:numCache>
            </c:numRef>
          </c:val>
        </c:ser>
        <c:ser>
          <c:idx val="4"/>
          <c:order val="4"/>
          <c:tx>
            <c:v>Gemini 3.1 Flash Image</c:v>
          </c:tx>
          <c:cat>
            <c:strRef>
              <c:f>'Category Latency'!$A$4:$A$8</c:f>
              <c:strCache>
                <c:ptCount val="0"/>
              </c:strCache>
            </c:strRef>
          </c:cat>
          <c:val>
            <c:numRef>
              <c:f>'Category Latency'!$F$4:$F$8</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Average human-evaluation points</a:t>
            </a:r>
          </a:p>
        </c:rich>
      </c:tx>
    </c:title>
    <c:plotArea>
      <c:barChart>
        <c:barDir val="col"/>
        <c:varyColors val="0"/>
        <c:ser>
          <c:idx val="0"/>
          <c:order val="0"/>
          <c:tx>
            <c:v>Series 1</c:v>
          </c:tx>
          <c:cat>
            <c:strLit>
              <c:ptCount val="1"/>
              <c:pt idx="0">
                <c:v>Item 1</c:v>
              </c:pt>
            </c:strLit>
          </c:cat>
          <c:val>
            <c:numLit>
              <c:formatCode>General</c:formatCode>
              <c:ptCount val="1"/>
              <c:pt idx="0">
                <c:v>0</c:v>
              </c:pt>
            </c:numLit>
          </c:val>
        </c:ser>
        <c:ser>
          <c:idx val="1"/>
          <c:order val="1"/>
          <c:tx>
            <c:v>Avg points</c:v>
          </c:tx>
          <c:cat>
            <c:strRef>
              <c:f>'Human Eval Summary'!$A$5:$A$9</c:f>
              <c:strCache>
                <c:ptCount val="1"/>
                <c:pt idx="0">
                  <c:v>Item 1</c:v>
                </c:pt>
              </c:strCache>
            </c:strRef>
          </c:cat>
          <c:val>
            <c:numRef>
              <c:f>'Human Eval Summary'!$D$5:$D$9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11</xdr:row>
      <xdr:rowOff>0</xdr:rowOff>
    </xdr:from>
    <xdr:to>
      <xdr:col>7</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08a427a8a847ee"/>
        </a:graphicData>
      </a:graphic>
    </xdr:graphicFrame>
    <xdr:clientData/>
  </xdr:twoCellAnchor>
  <xdr:twoCellAnchor>
    <xdr:from>
      <xdr:col>7</xdr:col>
      <xdr:colOff>0</xdr:colOff>
      <xdr:row>11</xdr:row>
      <xdr:rowOff>0</xdr:rowOff>
    </xdr:from>
    <xdr:to>
      <xdr:col>15</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349310c9214d0b"/>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10</xdr:row>
      <xdr:rowOff>0</xdr:rowOff>
    </xdr:from>
    <xdr:to>
      <xdr:col>10</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593a207d0b4ddd"/>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3</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0fde51d8ce4ca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NormalizedBenchmarkData" displayName="NormalizedBenchmarkData" ref="A1:P126" headerRowCount="1" totalsRowCount="0" totalsRowShown="0">
  <x:tableColumns count="16">
    <x:tableColumn id="1" name="source_file"/>
    <x:tableColumn id="2" name="model_type"/>
    <x:tableColumn id="3" name="provider"/>
    <x:tableColumn id="4" name="model"/>
    <x:tableColumn id="5" name="run_id"/>
    <x:tableColumn id="6" name="prompt_id"/>
    <x:tableColumn id="7" name="category"/>
    <x:tableColumn id="8" name="width"/>
    <x:tableColumn id="9" name="height"/>
    <x:tableColumn id="10" name="generation_time_seconds"/>
    <x:tableColumn id="11" name="peak_vram_mib"/>
    <x:tableColumn id="12" name="estimated_cost_usd"/>
    <x:tableColumn id="13" name="success"/>
    <x:tableColumn id="14" name="error"/>
    <x:tableColumn id="15" name="image_reference"/>
    <x:tableColumn id="16" name="timestamp"/>
  </x:tableColumns>
  <x:tableStyleInfo name="TableStyleMedium2" showFirstColumn="0" showLastColumn="0" showRowStripes="1" showColumnStripes="0"/>
</x:table>
</file>

<file path=xl/tables/table2.xml><?xml version="1.0" encoding="utf-8"?>
<x:table xmlns:x="http://schemas.openxmlformats.org/spreadsheetml/2006/main" id="2" name="HumanEvaluationRaw" displayName="HumanEvaluationRaw" ref="A1:J376" headerRowCount="1" totalsRowCount="0" totalsRowShown="0">
  <x:tableColumns count="10">
    <x:tableColumn id="1" name="evaluator_id"/>
    <x:tableColumn id="2" name="prompt_id"/>
    <x:tableColumn id="3" name="category"/>
    <x:tableColumn id="4" name="model"/>
    <x:tableColumn id="5" name="blind_label"/>
    <x:tableColumn id="6" name="rank"/>
    <x:tableColumn id="7" name="points"/>
    <x:tableColumn id="8" name="timestamp"/>
    <x:tableColumn id="9" name="prompt"/>
    <x:tableColumn id="10" name="image_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5f6b5d5ab654537" /></Relationships>
</file>

<file path=xl/worksheets/_rels/sheet2.xml.rels>&#65279;<?xml version="1.0" encoding="utf-8"?><Relationships xmlns="http://schemas.openxmlformats.org/package/2006/relationships"><Relationship Type="http://schemas.openxmlformats.org/officeDocument/2006/relationships/drawing" Target="/xl/drawings/drawing2.xml" Id="R6ec8afc5c5394893" /></Relationships>
</file>

<file path=xl/worksheets/_rels/sheet3.xml.rels>&#65279;<?xml version="1.0" encoding="utf-8"?><Relationships xmlns="http://schemas.openxmlformats.org/package/2006/relationships"><Relationship Type="http://schemas.openxmlformats.org/officeDocument/2006/relationships/table" Target="/xl/tables/table1.xml" Id="R489cbc8cb6a046a4" /></Relationships>
</file>

<file path=xl/worksheets/_rels/sheet5.xml.rels>&#65279;<?xml version="1.0" encoding="utf-8"?><Relationships xmlns="http://schemas.openxmlformats.org/package/2006/relationships"><Relationship Type="http://schemas.openxmlformats.org/officeDocument/2006/relationships/table" Target="/xl/tables/table2.xml" Id="R660a28dc13554bc3" /></Relationships>
</file>

<file path=xl/worksheets/_rels/sheet6.xml.rels>&#65279;<?xml version="1.0" encoding="utf-8"?><Relationships xmlns="http://schemas.openxmlformats.org/package/2006/relationships"><Relationship Type="http://schemas.openxmlformats.org/officeDocument/2006/relationships/drawing" Target="/xl/drawings/drawing3.xml" Id="Rdff43be78ed34b92" /></Relationships>
</file>

<file path=xl/worksheets/sheet1.xml><?xml version="1.0" encoding="utf-8"?>
<x:worksheet xmlns:x="http://schemas.openxmlformats.org/spreadsheetml/2006/main">
  <x:sheetFormatPr defaultRowHeight="15"/>
  <x:cols>
    <x:col min="1" max="1" width="25" hidden="0" customWidth="1"/>
    <x:col min="2" max="2" width="14" hidden="0" customWidth="1"/>
    <x:col min="3" max="3" width="20" hidden="0" customWidth="1"/>
    <x:col min="4" max="4" width="14" hidden="0" customWidth="1"/>
    <x:col min="5" max="5" width="9" hidden="0" customWidth="1"/>
    <x:col min="6" max="6" width="13" hidden="0" customWidth="1"/>
    <x:col min="7" max="7" width="9" hidden="0" customWidth="1"/>
    <x:col min="8" max="8" width="15" hidden="0" customWidth="1"/>
    <x:col min="9" max="9" width="15" hidden="0" customWidth="1"/>
    <x:col min="10" max="10" width="15" hidden="0" customWidth="1"/>
    <x:col min="11" max="11" width="15" hidden="0" customWidth="1"/>
    <x:col min="12" max="12" width="16" hidden="0" customWidth="1"/>
    <x:col min="13" max="13" width="18" hidden="0" customWidth="1"/>
    <x:col min="14" max="14" width="18" hidden="0" customWidth="1"/>
    <x:col min="15" max="15" width="36" hidden="0" customWidth="1"/>
  </x:cols>
  <x:sheetData>
    <x:row r="1" ht="22" customHeight="1">
      <x:c r="A1" s="4" t="str">
        <x:v>Objective Benchmark Analysis</x:v>
      </x:c>
      <x:c r="B1" s="4"/>
      <x:c r="C1" s="4"/>
      <x:c r="D1" s="4"/>
      <x:c r="E1" s="4"/>
      <x:c r="F1" s="4"/>
      <x:c r="G1" s="4"/>
      <x:c r="H1" s="4"/>
      <x:c r="I1" s="4"/>
      <x:c r="J1" s="4"/>
      <x:c r="K1" s="4"/>
      <x:c r="L1" s="4"/>
      <x:c r="M1" s="4"/>
      <x:c r="N1" s="4"/>
      <x:c r="O1" s="4"/>
    </x:row>
    <x:row r="2" ht="38" customHeight="1">
      <x:c r="A2" s="28" t="str">
        <x:v>Observed metrics from the supplied benchmark files. Important: open-source = 512×512; commercial = 1024×1024.</x:v>
      </x:c>
      <x:c r="B2" s="28"/>
      <x:c r="C2" s="28"/>
      <x:c r="D2" s="28"/>
      <x:c r="E2" s="28"/>
      <x:c r="F2" s="28"/>
      <x:c r="G2" s="28"/>
      <x:c r="H2" s="28"/>
      <x:c r="I2" s="28"/>
      <x:c r="J2" s="28"/>
      <x:c r="K2" s="28"/>
      <x:c r="L2" s="28"/>
      <x:c r="M2" s="28"/>
      <x:c r="N2" s="28"/>
      <x:c r="O2" s="28"/>
    </x:row>
    <x:row r="3" ht="22" customHeight="1"/>
    <x:row r="4" ht="22" customHeight="1">
      <x:c r="A4" s="12" t="str">
        <x:v>Model</x:v>
      </x:c>
      <x:c r="B4" s="12" t="str">
        <x:v>Type</x:v>
      </x:c>
      <x:c r="C4" s="12" t="str">
        <x:v>Provider</x:v>
      </x:c>
      <x:c r="D4" s="12" t="str">
        <x:v>Resolution</x:v>
      </x:c>
      <x:c r="E4" s="12" t="str">
        <x:v>Runs</x:v>
      </x:c>
      <x:c r="F4" s="12" t="str">
        <x:v>Success rate</x:v>
      </x:c>
      <x:c r="G4" s="12" t="str">
        <x:v>Failures</x:v>
      </x:c>
      <x:c r="H4" s="12" t="str">
        <x:v>Avg latency (s)</x:v>
      </x:c>
      <x:c r="I4" s="12" t="str">
        <x:v>Median latency (s)</x:v>
      </x:c>
      <x:c r="J4" s="12" t="str">
        <x:v>Min latency (s)</x:v>
      </x:c>
      <x:c r="K4" s="12" t="str">
        <x:v>Max latency (s)</x:v>
      </x:c>
      <x:c r="L4" s="12" t="str">
        <x:v>Peak VRAM (MiB)</x:v>
      </x:c>
      <x:c r="M4" s="12" t="str">
        <x:v>Cost / image (USD)</x:v>
      </x:c>
      <x:c r="N4" s="12" t="str">
        <x:v>25-image cost (USD)</x:v>
      </x:c>
      <x:c r="O4" s="12" t="str">
        <x:v>Interpretation note</x:v>
      </x:c>
    </x:row>
    <x:row r="5" ht="22" customHeight="1">
      <x:c r="A5" s="22" t="str">
        <x:v>FLUX.2 Klein 4B</x:v>
      </x:c>
      <x:c r="B5" s="22" t="str">
        <x:v>Open-source</x:v>
      </x:c>
      <x:c r="C5" s="22" t="str">
        <x:v>Self-hosted</x:v>
      </x:c>
      <x:c r="D5" s="22" t="str">
        <x:v>512×512</x:v>
      </x:c>
      <x:c r="E5" s="22" t="n">
        <x:v>25</x:v>
      </x:c>
      <x:c r="F5" s="40" t="n">
        <x:v>1</x:v>
      </x:c>
      <x:c r="G5" s="22" t="n">
        <x:v>0</x:v>
      </x:c>
      <x:c r="H5" s="41" t="n">
        <x:v>6.70516</x:v>
      </x:c>
      <x:c r="I5" s="41" t="n">
        <x:v>6.705</x:v>
      </x:c>
      <x:c r="J5" s="41" t="n">
        <x:v>6.614</x:v>
      </x:c>
      <x:c r="K5" s="41" t="n">
        <x:v>6.783</x:v>
      </x:c>
      <x:c r="L5" s="42" t="n">
        <x:v>11945</x:v>
      </x:c>
      <x:c r="M5" s="43" t="str">
        <x:f>IF('Inputs &amp; Notes'!$B$4="","",'Inputs &amp; Notes'!$B$4*H5/3600)</x:f>
      </x:c>
      <x:c r="N5" s="43" t="str">
        <x:f>IF(M5="","",M5*E5)</x:f>
      </x:c>
      <x:c r="O5" s="22" t="str">
        <x:v>Self-hosted; cost formula uses Inputs &amp; Notes!B4.</x:v>
      </x:c>
    </x:row>
    <x:row r="6" ht="22" customHeight="1">
      <x:c r="A6" s="22" t="str">
        <x:v>Z-Image Turbo</x:v>
      </x:c>
      <x:c r="B6" s="22" t="str">
        <x:v>Open-source</x:v>
      </x:c>
      <x:c r="C6" s="22" t="str">
        <x:v>Self-hosted</x:v>
      </x:c>
      <x:c r="D6" s="22" t="str">
        <x:v>512×512</x:v>
      </x:c>
      <x:c r="E6" s="22" t="n">
        <x:v>25</x:v>
      </x:c>
      <x:c r="F6" s="40" t="n">
        <x:v>1</x:v>
      </x:c>
      <x:c r="G6" s="22" t="n">
        <x:v>0</x:v>
      </x:c>
      <x:c r="H6" s="41" t="n">
        <x:v>14.55352</x:v>
      </x:c>
      <x:c r="I6" s="41" t="n">
        <x:v>14.688</x:v>
      </x:c>
      <x:c r="J6" s="41" t="n">
        <x:v>14.154</x:v>
      </x:c>
      <x:c r="K6" s="41" t="n">
        <x:v>15.209</x:v>
      </x:c>
      <x:c r="L6" s="42" t="n">
        <x:v>8053</x:v>
      </x:c>
      <x:c r="M6" s="43" t="str">
        <x:f>IF('Inputs &amp; Notes'!$B$4="","",'Inputs &amp; Notes'!$B$4*H6/3600)</x:f>
      </x:c>
      <x:c r="N6" s="43" t="str">
        <x:f>IF(M6="","",M6*E6)</x:f>
      </x:c>
      <x:c r="O6" s="22" t="str">
        <x:v>Self-hosted; cost formula uses Inputs &amp; Notes!B4.</x:v>
      </x:c>
    </x:row>
    <x:row r="7" ht="22" customHeight="1">
      <x:c r="A7" s="22" t="str">
        <x:v>GPT Image 2</x:v>
      </x:c>
      <x:c r="B7" s="22" t="str">
        <x:v>Commercial</x:v>
      </x:c>
      <x:c r="C7" s="22" t="str">
        <x:v>OpenAI</x:v>
      </x:c>
      <x:c r="D7" s="22" t="str">
        <x:v>1024×1024</x:v>
      </x:c>
      <x:c r="E7" s="22" t="n">
        <x:v>25</x:v>
      </x:c>
      <x:c r="F7" s="40" t="n">
        <x:v>1</x:v>
      </x:c>
      <x:c r="G7" s="22" t="n">
        <x:v>0</x:v>
      </x:c>
      <x:c r="H7" s="41" t="n">
        <x:v>44.834</x:v>
      </x:c>
      <x:c r="I7" s="41" t="n">
        <x:v>45.684</x:v>
      </x:c>
      <x:c r="J7" s="41" t="n">
        <x:v>34.828</x:v>
      </x:c>
      <x:c r="K7" s="41" t="n">
        <x:v>54.086</x:v>
      </x:c>
      <x:c r="L7" s="42"/>
      <x:c r="M7" s="43" t="n">
        <x:v>0.05</x:v>
      </x:c>
      <x:c r="N7" s="43" t="n">
        <x:v>1.25</x:v>
      </x:c>
      <x:c r="O7" s="22" t="str">
        <x:v>Hosted API; VRAM is not available from the supplied commercial benchmark.</x:v>
      </x:c>
    </x:row>
    <x:row r="8" ht="22" customHeight="1">
      <x:c r="A8" s="22" t="str">
        <x:v>FLUX 2 Pro</x:v>
      </x:c>
      <x:c r="B8" s="22" t="str">
        <x:v>Commercial</x:v>
      </x:c>
      <x:c r="C8" s="22" t="str">
        <x:v>Black Forest Labs</x:v>
      </x:c>
      <x:c r="D8" s="22" t="str">
        <x:v>1024×1024</x:v>
      </x:c>
      <x:c r="E8" s="22" t="n">
        <x:v>25</x:v>
      </x:c>
      <x:c r="F8" s="40" t="n">
        <x:v>1</x:v>
      </x:c>
      <x:c r="G8" s="22" t="n">
        <x:v>0</x:v>
      </x:c>
      <x:c r="H8" s="41" t="n">
        <x:v>15.28188</x:v>
      </x:c>
      <x:c r="I8" s="41" t="n">
        <x:v>14.402</x:v>
      </x:c>
      <x:c r="J8" s="41" t="n">
        <x:v>10.798</x:v>
      </x:c>
      <x:c r="K8" s="41" t="n">
        <x:v>24.412</x:v>
      </x:c>
      <x:c r="L8" s="42"/>
      <x:c r="M8" s="43" t="n">
        <x:v>0.031457</x:v>
      </x:c>
      <x:c r="N8" s="43" t="n">
        <x:v>0.7864249999999999</x:v>
      </x:c>
      <x:c r="O8" s="22" t="str">
        <x:v>Hosted API; VRAM is not available from the supplied commercial benchmark.</x:v>
      </x:c>
    </x:row>
    <x:row r="9" ht="22" customHeight="1">
      <x:c r="A9" s="22" t="str">
        <x:v>Gemini 3.1 Flash Image</x:v>
      </x:c>
      <x:c r="B9" s="22" t="str">
        <x:v>Commercial</x:v>
      </x:c>
      <x:c r="C9" s="22" t="str">
        <x:v>Google</x:v>
      </x:c>
      <x:c r="D9" s="22" t="str">
        <x:v>1024×1024</x:v>
      </x:c>
      <x:c r="E9" s="22" t="n">
        <x:v>25</x:v>
      </x:c>
      <x:c r="F9" s="40" t="n">
        <x:v>1</x:v>
      </x:c>
      <x:c r="G9" s="22" t="n">
        <x:v>0</x:v>
      </x:c>
      <x:c r="H9" s="41" t="n">
        <x:v>8.9076</x:v>
      </x:c>
      <x:c r="I9" s="41" t="n">
        <x:v>9.06</x:v>
      </x:c>
      <x:c r="J9" s="41" t="n">
        <x:v>7.556</x:v>
      </x:c>
      <x:c r="K9" s="41" t="n">
        <x:v>9.772</x:v>
      </x:c>
      <x:c r="L9" s="42"/>
      <x:c r="M9" s="43" t="n">
        <x:v>0.067</x:v>
      </x:c>
      <x:c r="N9" s="43" t="n">
        <x:v>1.675</x:v>
      </x:c>
      <x:c r="O9" s="22" t="str">
        <x:v>Hosted API; VRAM is not available from the supplied commercial benchmark.</x:v>
      </x:c>
    </x:row>
  </x:sheetData>
  <x:mergeCells>
    <x:mergeCell ref="A1:O1"/>
    <x:mergeCell ref="A2:O2"/>
  </x:mergeCells>
  <x:conditionalFormatting sqref="H5:H9">
    <x:cfRule type="dataBar" priority="1">
      <x:dataBar>
        <x:cfvo type="min"/>
        <x:cfvo type="max"/>
        <x:color rgb="FF156082"/>
      </x:dataBar>
      <x:extLst>
        <x:ext xmlns:x14="http://schemas.microsoft.com/office/spreadsheetml/2009/9/main" uri="{B025F937-C7B1-47D3-B67F-A62EFF666E3E}">
          <x14:id>{96375E80-0D21-A49D-77C3-6C572357139D}</x14:id>
        </x:ext>
      </x:extLst>
    </x:cfRule>
  </x:conditionalFormatting>
  <x:conditionalFormatting sqref="F5:F9">
    <x:cfRule type="colorScale" priority="2">
      <x:colorScale>
        <x:cfvo type="min"/>
        <x:cfvo type="percentile" val="50"/>
        <x:cfvo type="max"/>
        <x:color rgb="FFF4CCCC"/>
        <x:color rgb="FFFFF2CC"/>
        <x:color rgb="FFD9EAD3"/>
      </x:colorScale>
    </x:cfRule>
  </x:conditionalFormatting>
  <x:pageMargins left="0.7" right="0.7" top="0.75" bottom="0.75" header="0.3" footer="0.3"/>
  <x:drawing xmlns:r="http://schemas.openxmlformats.org/officeDocument/2006/relationships" r:id="R45f6b5d5ab654537"/>
  <x:extLst>
    <x:ext xmlns:x14="http://schemas.microsoft.com/office/spreadsheetml/2009/9/main" xmlns:xm="http://schemas.microsoft.com/office/excel/2006/main" uri="{78C0D931-6437-407d-A8EE-F0AAD7539E65}">
      <x14:conditionalFormattings>
        <x14:conditionalFormatting>
          <x14:cfRule type="dataBar" priority="1" id="{96375E80-0D21-A49D-77C3-6C572357139D}">
            <x14:dataBar gradient="1">
              <x14:cfvo type="min"/>
              <x14:cfvo type="max"/>
              <x14:fillColor rgb="FF156082"/>
            </x14:dataBar>
          </x14:cfRule>
          <xm:sqref>H5:H9</xm:sqref>
        </x14:conditionalFormatting>
      </x14:conditionalFormattings>
    </x:ext>
  </x:extLst>
</x:worksheet>
</file>

<file path=xl/worksheets/sheet2.xml><?xml version="1.0" encoding="utf-8"?>
<x:worksheet xmlns:x="http://schemas.openxmlformats.org/spreadsheetml/2006/main">
  <x:sheetFormatPr defaultRowHeight="15"/>
  <x:cols>
    <x:col min="1" max="1" width="26" hidden="0" customWidth="1"/>
    <x:col min="2" max="2" width="20" hidden="0" customWidth="1"/>
    <x:col min="3" max="3" width="20" hidden="0" customWidth="1"/>
    <x:col min="4" max="4" width="20" hidden="0" customWidth="1"/>
    <x:col min="5" max="5" width="20" hidden="0" customWidth="1"/>
    <x:col min="6" max="6" width="20" hidden="0" customWidth="1"/>
  </x:cols>
  <x:sheetData>
    <x:row r="1">
      <x:c r="A1" s="4" t="str">
        <x:v>Average Generation Latency by Prompt Category</x:v>
      </x:c>
      <x:c r="B1" s="4"/>
      <x:c r="C1" s="4"/>
      <x:c r="D1" s="4"/>
      <x:c r="E1" s="4"/>
      <x:c r="F1" s="4"/>
    </x:row>
    <x:row r="3">
      <x:c r="A3" s="12" t="str">
        <x:v>Category</x:v>
      </x:c>
      <x:c r="B3" s="12" t="str">
        <x:v>FLUX.2 Klein 4B</x:v>
      </x:c>
      <x:c r="C3" s="12" t="str">
        <x:v>Z-Image Turbo</x:v>
      </x:c>
      <x:c r="D3" s="12" t="str">
        <x:v>GPT Image 2</x:v>
      </x:c>
      <x:c r="E3" s="12" t="str">
        <x:v>FLUX 2 Pro</x:v>
      </x:c>
      <x:c r="F3" s="12" t="str">
        <x:v>Gemini 3.1 Flash Image</x:v>
      </x:c>
    </x:row>
    <x:row r="4">
      <x:c r="A4" s="22" t="str">
        <x:v>People &amp; lifestyle</x:v>
      </x:c>
      <x:c r="B4" s="41" t="n">
        <x:v>6.6334</x:v>
      </x:c>
      <x:c r="C4" s="41" t="n">
        <x:v>14.5954</x:v>
      </x:c>
      <x:c r="D4" s="41" t="n">
        <x:v>48.2134</x:v>
      </x:c>
      <x:c r="E4" s="41" t="n">
        <x:v>15.1496</x:v>
      </x:c>
      <x:c r="F4" s="41" t="n">
        <x:v>9.119</x:v>
      </x:c>
    </x:row>
    <x:row r="5">
      <x:c r="A5" s="22" t="str">
        <x:v>Text &amp; typography</x:v>
      </x:c>
      <x:c r="B5" s="41" t="n">
        <x:v>6.6618</x:v>
      </x:c>
      <x:c r="C5" s="41" t="n">
        <x:v>14.722</x:v>
      </x:c>
      <x:c r="D5" s="41" t="n">
        <x:v>42.184400000000004</x:v>
      </x:c>
      <x:c r="E5" s="41" t="n">
        <x:v>15.7946</x:v>
      </x:c>
      <x:c r="F5" s="41" t="n">
        <x:v>8.2362</x:v>
      </x:c>
    </x:row>
    <x:row r="6">
      <x:c r="A6" s="22" t="str">
        <x:v>Branding &amp; advertising</x:v>
      </x:c>
      <x:c r="B6" s="41" t="n">
        <x:v>6.7112</x:v>
      </x:c>
      <x:c r="C6" s="41" t="n">
        <x:v>14.4644</x:v>
      </x:c>
      <x:c r="D6" s="41" t="n">
        <x:v>43.097</x:v>
      </x:c>
      <x:c r="E6" s="41" t="n">
        <x:v>14.2056</x:v>
      </x:c>
      <x:c r="F6" s="41" t="n">
        <x:v>9.0798</x:v>
      </x:c>
    </x:row>
    <x:row r="7">
      <x:c r="A7" s="22" t="str">
        <x:v>Products &amp; objects</x:v>
      </x:c>
      <x:c r="B7" s="41" t="n">
        <x:v>6.7484</x:v>
      </x:c>
      <x:c r="C7" s="41" t="n">
        <x:v>14.2042</x:v>
      </x:c>
      <x:c r="D7" s="41" t="n">
        <x:v>40.4156</x:v>
      </x:c>
      <x:c r="E7" s="41" t="n">
        <x:v>13.4238</x:v>
      </x:c>
      <x:c r="F7" s="41" t="n">
        <x:v>8.8674</x:v>
      </x:c>
    </x:row>
    <x:row r="8">
      <x:c r="A8" s="22" t="str">
        <x:v>Complex compositions</x:v>
      </x:c>
      <x:c r="B8" s="41" t="n">
        <x:v>6.771</x:v>
      </x:c>
      <x:c r="C8" s="41" t="n">
        <x:v>14.7816</x:v>
      </x:c>
      <x:c r="D8" s="41" t="n">
        <x:v>50.2596</x:v>
      </x:c>
      <x:c r="E8" s="41" t="n">
        <x:v>17.8358</x:v>
      </x:c>
      <x:c r="F8" s="41" t="n">
        <x:v>9.2356</x:v>
      </x:c>
    </x:row>
  </x:sheetData>
  <x:mergeCells>
    <x:mergeCell ref="A1:F1"/>
  </x:mergeCells>
  <x:pageMargins left="0.7" right="0.7" top="0.75" bottom="0.75" header="0.3" footer="0.3"/>
  <x:drawing xmlns:r="http://schemas.openxmlformats.org/officeDocument/2006/relationships" r:id="R6ec8afc5c5394893"/>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20" hidden="0" customWidth="1"/>
    <x:col min="4" max="4" width="24" hidden="0" customWidth="1"/>
    <x:col min="5" max="5" width="38" hidden="0" customWidth="1"/>
    <x:col min="6" max="6" width="11" hidden="0" customWidth="1"/>
    <x:col min="7" max="7" width="24" hidden="0" customWidth="1"/>
    <x:col min="8" max="8" width="10" hidden="0" customWidth="1"/>
    <x:col min="9" max="9" width="10" hidden="0" customWidth="1"/>
    <x:col min="10" max="10" width="18" hidden="0" customWidth="1"/>
    <x:col min="11" max="11" width="17" hidden="0" customWidth="1"/>
    <x:col min="12" max="12" width="18" hidden="0" customWidth="1"/>
    <x:col min="13" max="13" width="10" hidden="0" customWidth="1"/>
    <x:col min="14" max="14" width="24" hidden="0" customWidth="1"/>
    <x:col min="15" max="15" width="48" hidden="0" customWidth="1"/>
    <x:col min="16" max="16" width="30" hidden="0" customWidth="1"/>
  </x:cols>
  <x:sheetData>
    <x:row r="1">
      <x:c r="A1" s="50" t="str">
        <x:v>source_file</x:v>
      </x:c>
      <x:c r="B1" s="50" t="str">
        <x:v>model_type</x:v>
      </x:c>
      <x:c r="C1" s="50" t="str">
        <x:v>provider</x:v>
      </x:c>
      <x:c r="D1" s="50" t="str">
        <x:v>model</x:v>
      </x:c>
      <x:c r="E1" s="50" t="str">
        <x:v>run_id</x:v>
      </x:c>
      <x:c r="F1" s="50" t="str">
        <x:v>prompt_id</x:v>
      </x:c>
      <x:c r="G1" s="50" t="str">
        <x:v>category</x:v>
      </x:c>
      <x:c r="H1" s="50" t="str">
        <x:v>width</x:v>
      </x:c>
      <x:c r="I1" s="50" t="str">
        <x:v>height</x:v>
      </x:c>
      <x:c r="J1" s="50" t="str">
        <x:v>generation_time_seconds</x:v>
      </x:c>
      <x:c r="K1" s="50" t="str">
        <x:v>peak_vram_mib</x:v>
      </x:c>
      <x:c r="L1" s="50" t="str">
        <x:v>estimated_cost_usd</x:v>
      </x:c>
      <x:c r="M1" s="50" t="str">
        <x:v>success</x:v>
      </x:c>
      <x:c r="N1" s="50" t="str">
        <x:v>error</x:v>
      </x:c>
      <x:c r="O1" s="50" t="str">
        <x:v>image_reference</x:v>
      </x:c>
      <x:c r="P1" s="50" t="str">
        <x:v>timestamp</x:v>
      </x:c>
    </x:row>
    <x:row r="2">
      <x:c r="A2" t="str">
        <x:v>results (1).csv</x:v>
      </x:c>
      <x:c r="B2" t="str">
        <x:v>Open-source</x:v>
      </x:c>
      <x:c r="C2" t="str">
        <x:v>Self-hosted</x:v>
      </x:c>
      <x:c r="D2" t="str">
        <x:v>FLUX.2 Klein 4B</x:v>
      </x:c>
      <x:c r="E2" t="str">
        <x:v>2a0777a6-afc4-41f0-982d-6ca08e331953</x:v>
      </x:c>
      <x:c r="F2" t="str">
        <x:v>PL-01</x:v>
      </x:c>
      <x:c r="G2" t="str">
        <x:v>people_lifestyle</x:v>
      </x:c>
      <x:c r="H2" t="n">
        <x:v>512</x:v>
      </x:c>
      <x:c r="I2" t="n">
        <x:v>512</x:v>
      </x:c>
      <x:c r="J2" s="34" t="n">
        <x:v>6.614</x:v>
      </x:c>
      <x:c r="K2" s="36" t="n">
        <x:v>11945</x:v>
      </x:c>
      <x:c r="L2" s="38"/>
      <x:c r="M2" s="48" t="b">
        <x:v>1</x:v>
      </x:c>
      <x:c r="N2" t="str"/>
      <x:c r="O2" t="str">
        <x:v>benchmark/results/baseline/512/images/flux-klein/2a0777a6_PL-01.png</x:v>
      </x:c>
      <x:c r="P2" t="n">
        <x:v>46287.295434444444</x:v>
      </x:c>
    </x:row>
    <x:row r="3">
      <x:c r="A3" t="str">
        <x:v>results (1).csv</x:v>
      </x:c>
      <x:c r="B3" t="str">
        <x:v>Open-source</x:v>
      </x:c>
      <x:c r="C3" t="str">
        <x:v>Self-hosted</x:v>
      </x:c>
      <x:c r="D3" t="str">
        <x:v>FLUX.2 Klein 4B</x:v>
      </x:c>
      <x:c r="E3" t="str">
        <x:v>2a0777a6-afc4-41f0-982d-6ca08e331953</x:v>
      </x:c>
      <x:c r="F3" t="str">
        <x:v>PL-02</x:v>
      </x:c>
      <x:c r="G3" t="str">
        <x:v>people_lifestyle</x:v>
      </x:c>
      <x:c r="H3" t="n">
        <x:v>512</x:v>
      </x:c>
      <x:c r="I3" t="n">
        <x:v>512</x:v>
      </x:c>
      <x:c r="J3" s="34" t="n">
        <x:v>6.619</x:v>
      </x:c>
      <x:c r="K3" s="36" t="n">
        <x:v>11945</x:v>
      </x:c>
      <x:c r="L3" s="38"/>
      <x:c r="M3" s="48" t="b">
        <x:v>1</x:v>
      </x:c>
      <x:c r="N3" t="str"/>
      <x:c r="O3" t="str">
        <x:v>benchmark/results/baseline/512/images/flux-klein/2a0777a6_PL-02.png</x:v>
      </x:c>
      <x:c r="P3" t="n">
        <x:v>46287.29551170139</x:v>
      </x:c>
    </x:row>
    <x:row r="4">
      <x:c r="A4" t="str">
        <x:v>results (1).csv</x:v>
      </x:c>
      <x:c r="B4" t="str">
        <x:v>Open-source</x:v>
      </x:c>
      <x:c r="C4" t="str">
        <x:v>Self-hosted</x:v>
      </x:c>
      <x:c r="D4" t="str">
        <x:v>FLUX.2 Klein 4B</x:v>
      </x:c>
      <x:c r="E4" t="str">
        <x:v>2a0777a6-afc4-41f0-982d-6ca08e331953</x:v>
      </x:c>
      <x:c r="F4" t="str">
        <x:v>PL-03</x:v>
      </x:c>
      <x:c r="G4" t="str">
        <x:v>people_lifestyle</x:v>
      </x:c>
      <x:c r="H4" t="n">
        <x:v>512</x:v>
      </x:c>
      <x:c r="I4" t="n">
        <x:v>512</x:v>
      </x:c>
      <x:c r="J4" s="34" t="n">
        <x:v>6.652</x:v>
      </x:c>
      <x:c r="K4" s="36" t="n">
        <x:v>11945</x:v>
      </x:c>
      <x:c r="L4" s="38"/>
      <x:c r="M4" s="48" t="b">
        <x:v>1</x:v>
      </x:c>
      <x:c r="N4" t="str"/>
      <x:c r="O4" t="str">
        <x:v>benchmark/results/baseline/512/images/flux-klein/2a0777a6_PL-03.png</x:v>
      </x:c>
      <x:c r="P4" t="n">
        <x:v>46287.29558922454</x:v>
      </x:c>
    </x:row>
    <x:row r="5">
      <x:c r="A5" t="str">
        <x:v>results (1).csv</x:v>
      </x:c>
      <x:c r="B5" t="str">
        <x:v>Open-source</x:v>
      </x:c>
      <x:c r="C5" t="str">
        <x:v>Self-hosted</x:v>
      </x:c>
      <x:c r="D5" t="str">
        <x:v>FLUX.2 Klein 4B</x:v>
      </x:c>
      <x:c r="E5" t="str">
        <x:v>2a0777a6-afc4-41f0-982d-6ca08e331953</x:v>
      </x:c>
      <x:c r="F5" t="str">
        <x:v>PL-04</x:v>
      </x:c>
      <x:c r="G5" t="str">
        <x:v>people_lifestyle</x:v>
      </x:c>
      <x:c r="H5" t="n">
        <x:v>512</x:v>
      </x:c>
      <x:c r="I5" t="n">
        <x:v>512</x:v>
      </x:c>
      <x:c r="J5" s="34" t="n">
        <x:v>6.646</x:v>
      </x:c>
      <x:c r="K5" s="36" t="n">
        <x:v>11945</x:v>
      </x:c>
      <x:c r="L5" s="38"/>
      <x:c r="M5" s="48" t="b">
        <x:v>1</x:v>
      </x:c>
      <x:c r="N5" t="str"/>
      <x:c r="O5" t="str">
        <x:v>benchmark/results/baseline/512/images/flux-klein/2a0777a6_PL-04.png</x:v>
      </x:c>
      <x:c r="P5" t="n">
        <x:v>46287.29566667824</x:v>
      </x:c>
    </x:row>
    <x:row r="6">
      <x:c r="A6" t="str">
        <x:v>results (1).csv</x:v>
      </x:c>
      <x:c r="B6" t="str">
        <x:v>Open-source</x:v>
      </x:c>
      <x:c r="C6" t="str">
        <x:v>Self-hosted</x:v>
      </x:c>
      <x:c r="D6" t="str">
        <x:v>FLUX.2 Klein 4B</x:v>
      </x:c>
      <x:c r="E6" t="str">
        <x:v>2a0777a6-afc4-41f0-982d-6ca08e331953</x:v>
      </x:c>
      <x:c r="F6" t="str">
        <x:v>PL-05</x:v>
      </x:c>
      <x:c r="G6" t="str">
        <x:v>people_lifestyle</x:v>
      </x:c>
      <x:c r="H6" t="n">
        <x:v>512</x:v>
      </x:c>
      <x:c r="I6" t="n">
        <x:v>512</x:v>
      </x:c>
      <x:c r="J6" s="34" t="n">
        <x:v>6.636</x:v>
      </x:c>
      <x:c r="K6" s="36" t="n">
        <x:v>11945</x:v>
      </x:c>
      <x:c r="L6" s="38"/>
      <x:c r="M6" s="48" t="b">
        <x:v>1</x:v>
      </x:c>
      <x:c r="N6" t="str"/>
      <x:c r="O6" t="str">
        <x:v>benchmark/results/baseline/512/images/flux-klein/2a0777a6_PL-05.png</x:v>
      </x:c>
      <x:c r="P6" t="n">
        <x:v>46287.29574400463</x:v>
      </x:c>
    </x:row>
    <x:row r="7">
      <x:c r="A7" t="str">
        <x:v>results (1).csv</x:v>
      </x:c>
      <x:c r="B7" t="str">
        <x:v>Open-source</x:v>
      </x:c>
      <x:c r="C7" t="str">
        <x:v>Self-hosted</x:v>
      </x:c>
      <x:c r="D7" t="str">
        <x:v>FLUX.2 Klein 4B</x:v>
      </x:c>
      <x:c r="E7" t="str">
        <x:v>2a0777a6-afc4-41f0-982d-6ca08e331953</x:v>
      </x:c>
      <x:c r="F7" t="str">
        <x:v>TT-01</x:v>
      </x:c>
      <x:c r="G7" t="str">
        <x:v>text_typography</x:v>
      </x:c>
      <x:c r="H7" t="n">
        <x:v>512</x:v>
      </x:c>
      <x:c r="I7" t="n">
        <x:v>512</x:v>
      </x:c>
      <x:c r="J7" s="34" t="n">
        <x:v>6.643</x:v>
      </x:c>
      <x:c r="K7" s="36" t="n">
        <x:v>11945</x:v>
      </x:c>
      <x:c r="L7" s="38"/>
      <x:c r="M7" s="48" t="b">
        <x:v>1</x:v>
      </x:c>
      <x:c r="N7" t="str"/>
      <x:c r="O7" t="str">
        <x:v>benchmark/results/baseline/512/images/flux-klein/2a0777a6_TT-01.png</x:v>
      </x:c>
      <x:c r="P7" t="n">
        <x:v>46287.29582142361</x:v>
      </x:c>
    </x:row>
    <x:row r="8">
      <x:c r="A8" t="str">
        <x:v>results (1).csv</x:v>
      </x:c>
      <x:c r="B8" t="str">
        <x:v>Open-source</x:v>
      </x:c>
      <x:c r="C8" t="str">
        <x:v>Self-hosted</x:v>
      </x:c>
      <x:c r="D8" t="str">
        <x:v>FLUX.2 Klein 4B</x:v>
      </x:c>
      <x:c r="E8" t="str">
        <x:v>2a0777a6-afc4-41f0-982d-6ca08e331953</x:v>
      </x:c>
      <x:c r="F8" t="str">
        <x:v>TT-02</x:v>
      </x:c>
      <x:c r="G8" t="str">
        <x:v>text_typography</x:v>
      </x:c>
      <x:c r="H8" t="n">
        <x:v>512</x:v>
      </x:c>
      <x:c r="I8" t="n">
        <x:v>512</x:v>
      </x:c>
      <x:c r="J8" s="34" t="n">
        <x:v>6.655</x:v>
      </x:c>
      <x:c r="K8" s="36" t="n">
        <x:v>11945</x:v>
      </x:c>
      <x:c r="L8" s="38"/>
      <x:c r="M8" s="48" t="b">
        <x:v>1</x:v>
      </x:c>
      <x:c r="N8" t="str"/>
      <x:c r="O8" t="str">
        <x:v>benchmark/results/baseline/512/images/flux-klein/2a0777a6_TT-02.png</x:v>
      </x:c>
      <x:c r="P8" t="n">
        <x:v>46287.29589896991</x:v>
      </x:c>
    </x:row>
    <x:row r="9">
      <x:c r="A9" t="str">
        <x:v>results (1).csv</x:v>
      </x:c>
      <x:c r="B9" t="str">
        <x:v>Open-source</x:v>
      </x:c>
      <x:c r="C9" t="str">
        <x:v>Self-hosted</x:v>
      </x:c>
      <x:c r="D9" t="str">
        <x:v>FLUX.2 Klein 4B</x:v>
      </x:c>
      <x:c r="E9" t="str">
        <x:v>2a0777a6-afc4-41f0-982d-6ca08e331953</x:v>
      </x:c>
      <x:c r="F9" t="str">
        <x:v>TT-03</x:v>
      </x:c>
      <x:c r="G9" t="str">
        <x:v>text_typography</x:v>
      </x:c>
      <x:c r="H9" t="n">
        <x:v>512</x:v>
      </x:c>
      <x:c r="I9" t="n">
        <x:v>512</x:v>
      </x:c>
      <x:c r="J9" s="34" t="n">
        <x:v>6.659</x:v>
      </x:c>
      <x:c r="K9" s="36" t="n">
        <x:v>11945</x:v>
      </x:c>
      <x:c r="L9" s="38"/>
      <x:c r="M9" s="48" t="b">
        <x:v>1</x:v>
      </x:c>
      <x:c r="N9" t="str"/>
      <x:c r="O9" t="str">
        <x:v>benchmark/results/baseline/512/images/flux-klein/2a0777a6_TT-03.png</x:v>
      </x:c>
      <x:c r="P9" t="n">
        <x:v>46287.295976574074</x:v>
      </x:c>
    </x:row>
    <x:row r="10">
      <x:c r="A10" t="str">
        <x:v>results (1).csv</x:v>
      </x:c>
      <x:c r="B10" t="str">
        <x:v>Open-source</x:v>
      </x:c>
      <x:c r="C10" t="str">
        <x:v>Self-hosted</x:v>
      </x:c>
      <x:c r="D10" t="str">
        <x:v>FLUX.2 Klein 4B</x:v>
      </x:c>
      <x:c r="E10" t="str">
        <x:v>2a0777a6-afc4-41f0-982d-6ca08e331953</x:v>
      </x:c>
      <x:c r="F10" t="str">
        <x:v>TT-04</x:v>
      </x:c>
      <x:c r="G10" t="str">
        <x:v>text_typography</x:v>
      </x:c>
      <x:c r="H10" t="n">
        <x:v>512</x:v>
      </x:c>
      <x:c r="I10" t="n">
        <x:v>512</x:v>
      </x:c>
      <x:c r="J10" s="34" t="n">
        <x:v>6.674</x:v>
      </x:c>
      <x:c r="K10" s="36" t="n">
        <x:v>11945</x:v>
      </x:c>
      <x:c r="L10" s="38"/>
      <x:c r="M10" s="48" t="b">
        <x:v>1</x:v>
      </x:c>
      <x:c r="N10" t="str"/>
      <x:c r="O10" t="str">
        <x:v>benchmark/results/baseline/512/images/flux-klein/2a0777a6_TT-04.png</x:v>
      </x:c>
      <x:c r="P10" t="n">
        <x:v>46287.296054363425</x:v>
      </x:c>
    </x:row>
    <x:row r="11">
      <x:c r="A11" t="str">
        <x:v>results (1).csv</x:v>
      </x:c>
      <x:c r="B11" t="str">
        <x:v>Open-source</x:v>
      </x:c>
      <x:c r="C11" t="str">
        <x:v>Self-hosted</x:v>
      </x:c>
      <x:c r="D11" t="str">
        <x:v>FLUX.2 Klein 4B</x:v>
      </x:c>
      <x:c r="E11" t="str">
        <x:v>2a0777a6-afc4-41f0-982d-6ca08e331953</x:v>
      </x:c>
      <x:c r="F11" t="str">
        <x:v>TT-05</x:v>
      </x:c>
      <x:c r="G11" t="str">
        <x:v>text_typography</x:v>
      </x:c>
      <x:c r="H11" t="n">
        <x:v>512</x:v>
      </x:c>
      <x:c r="I11" t="n">
        <x:v>512</x:v>
      </x:c>
      <x:c r="J11" s="34" t="n">
        <x:v>6.678</x:v>
      </x:c>
      <x:c r="K11" s="36" t="n">
        <x:v>11945</x:v>
      </x:c>
      <x:c r="L11" s="38"/>
      <x:c r="M11" s="48" t="b">
        <x:v>1</x:v>
      </x:c>
      <x:c r="N11" t="str"/>
      <x:c r="O11" t="str">
        <x:v>benchmark/results/baseline/512/images/flux-klein/2a0777a6_TT-05.png</x:v>
      </x:c>
      <x:c r="P11" t="n">
        <x:v>46287.29613219907</x:v>
      </x:c>
    </x:row>
    <x:row r="12">
      <x:c r="A12" t="str">
        <x:v>results (1).csv</x:v>
      </x:c>
      <x:c r="B12" t="str">
        <x:v>Open-source</x:v>
      </x:c>
      <x:c r="C12" t="str">
        <x:v>Self-hosted</x:v>
      </x:c>
      <x:c r="D12" t="str">
        <x:v>FLUX.2 Klein 4B</x:v>
      </x:c>
      <x:c r="E12" t="str">
        <x:v>2a0777a6-afc4-41f0-982d-6ca08e331953</x:v>
      </x:c>
      <x:c r="F12" t="str">
        <x:v>BA-01</x:v>
      </x:c>
      <x:c r="G12" t="str">
        <x:v>branding_advertising</x:v>
      </x:c>
      <x:c r="H12" t="n">
        <x:v>512</x:v>
      </x:c>
      <x:c r="I12" t="n">
        <x:v>512</x:v>
      </x:c>
      <x:c r="J12" s="34" t="n">
        <x:v>6.694</x:v>
      </x:c>
      <x:c r="K12" s="36" t="n">
        <x:v>11945</x:v>
      </x:c>
      <x:c r="L12" s="38"/>
      <x:c r="M12" s="48" t="b">
        <x:v>1</x:v>
      </x:c>
      <x:c r="N12" t="str"/>
      <x:c r="O12" t="str">
        <x:v>benchmark/results/baseline/512/images/flux-klein/2a0777a6_BA-01.png</x:v>
      </x:c>
      <x:c r="P12" t="n">
        <x:v>46287.29621020833</x:v>
      </x:c>
    </x:row>
    <x:row r="13">
      <x:c r="A13" t="str">
        <x:v>results (1).csv</x:v>
      </x:c>
      <x:c r="B13" t="str">
        <x:v>Open-source</x:v>
      </x:c>
      <x:c r="C13" t="str">
        <x:v>Self-hosted</x:v>
      </x:c>
      <x:c r="D13" t="str">
        <x:v>FLUX.2 Klein 4B</x:v>
      </x:c>
      <x:c r="E13" t="str">
        <x:v>2a0777a6-afc4-41f0-982d-6ca08e331953</x:v>
      </x:c>
      <x:c r="F13" t="str">
        <x:v>BA-02</x:v>
      </x:c>
      <x:c r="G13" t="str">
        <x:v>branding_advertising</x:v>
      </x:c>
      <x:c r="H13" t="n">
        <x:v>512</x:v>
      </x:c>
      <x:c r="I13" t="n">
        <x:v>512</x:v>
      </x:c>
      <x:c r="J13" s="34" t="n">
        <x:v>6.7</x:v>
      </x:c>
      <x:c r="K13" s="36" t="n">
        <x:v>11945</x:v>
      </x:c>
      <x:c r="L13" s="38"/>
      <x:c r="M13" s="48" t="b">
        <x:v>1</x:v>
      </x:c>
      <x:c r="N13" t="str"/>
      <x:c r="O13" t="str">
        <x:v>benchmark/results/baseline/512/images/flux-klein/2a0777a6_BA-02.png</x:v>
      </x:c>
      <x:c r="P13" t="n">
        <x:v>46287.29628829861</x:v>
      </x:c>
    </x:row>
    <x:row r="14">
      <x:c r="A14" t="str">
        <x:v>results (1).csv</x:v>
      </x:c>
      <x:c r="B14" t="str">
        <x:v>Open-source</x:v>
      </x:c>
      <x:c r="C14" t="str">
        <x:v>Self-hosted</x:v>
      </x:c>
      <x:c r="D14" t="str">
        <x:v>FLUX.2 Klein 4B</x:v>
      </x:c>
      <x:c r="E14" t="str">
        <x:v>2a0777a6-afc4-41f0-982d-6ca08e331953</x:v>
      </x:c>
      <x:c r="F14" t="str">
        <x:v>BA-03</x:v>
      </x:c>
      <x:c r="G14" t="str">
        <x:v>branding_advertising</x:v>
      </x:c>
      <x:c r="H14" t="n">
        <x:v>512</x:v>
      </x:c>
      <x:c r="I14" t="n">
        <x:v>512</x:v>
      </x:c>
      <x:c r="J14" s="34" t="n">
        <x:v>6.705</x:v>
      </x:c>
      <x:c r="K14" s="36" t="n">
        <x:v>11945</x:v>
      </x:c>
      <x:c r="L14" s="38"/>
      <x:c r="M14" s="48" t="b">
        <x:v>1</x:v>
      </x:c>
      <x:c r="N14" t="str"/>
      <x:c r="O14" t="str">
        <x:v>benchmark/results/baseline/512/images/flux-klein/2a0777a6_BA-03.png</x:v>
      </x:c>
      <x:c r="P14" t="n">
        <x:v>46287.29636644676</x:v>
      </x:c>
    </x:row>
    <x:row r="15">
      <x:c r="A15" t="str">
        <x:v>results (1).csv</x:v>
      </x:c>
      <x:c r="B15" t="str">
        <x:v>Open-source</x:v>
      </x:c>
      <x:c r="C15" t="str">
        <x:v>Self-hosted</x:v>
      </x:c>
      <x:c r="D15" t="str">
        <x:v>FLUX.2 Klein 4B</x:v>
      </x:c>
      <x:c r="E15" t="str">
        <x:v>2a0777a6-afc4-41f0-982d-6ca08e331953</x:v>
      </x:c>
      <x:c r="F15" t="str">
        <x:v>BA-04</x:v>
      </x:c>
      <x:c r="G15" t="str">
        <x:v>branding_advertising</x:v>
      </x:c>
      <x:c r="H15" t="n">
        <x:v>512</x:v>
      </x:c>
      <x:c r="I15" t="n">
        <x:v>512</x:v>
      </x:c>
      <x:c r="J15" s="34" t="n">
        <x:v>6.725</x:v>
      </x:c>
      <x:c r="K15" s="36" t="n">
        <x:v>11945</x:v>
      </x:c>
      <x:c r="L15" s="38"/>
      <x:c r="M15" s="48" t="b">
        <x:v>1</x:v>
      </x:c>
      <x:c r="N15" t="str"/>
      <x:c r="O15" t="str">
        <x:v>benchmark/results/baseline/512/images/flux-klein/2a0777a6_BA-04.png</x:v>
      </x:c>
      <x:c r="P15" t="n">
        <x:v>46287.29644482639</x:v>
      </x:c>
    </x:row>
    <x:row r="16">
      <x:c r="A16" t="str">
        <x:v>results (1).csv</x:v>
      </x:c>
      <x:c r="B16" t="str">
        <x:v>Open-source</x:v>
      </x:c>
      <x:c r="C16" t="str">
        <x:v>Self-hosted</x:v>
      </x:c>
      <x:c r="D16" t="str">
        <x:v>FLUX.2 Klein 4B</x:v>
      </x:c>
      <x:c r="E16" t="str">
        <x:v>2a0777a6-afc4-41f0-982d-6ca08e331953</x:v>
      </x:c>
      <x:c r="F16" t="str">
        <x:v>BA-05</x:v>
      </x:c>
      <x:c r="G16" t="str">
        <x:v>branding_advertising</x:v>
      </x:c>
      <x:c r="H16" t="n">
        <x:v>512</x:v>
      </x:c>
      <x:c r="I16" t="n">
        <x:v>512</x:v>
      </x:c>
      <x:c r="J16" s="34" t="n">
        <x:v>6.732</x:v>
      </x:c>
      <x:c r="K16" s="36" t="n">
        <x:v>11945</x:v>
      </x:c>
      <x:c r="L16" s="38"/>
      <x:c r="M16" s="48" t="b">
        <x:v>1</x:v>
      </x:c>
      <x:c r="N16" t="str"/>
      <x:c r="O16" t="str">
        <x:v>benchmark/results/baseline/512/images/flux-klein/2a0777a6_BA-05.png</x:v>
      </x:c>
      <x:c r="P16" t="n">
        <x:v>46287.296523310186</x:v>
      </x:c>
    </x:row>
    <x:row r="17">
      <x:c r="A17" t="str">
        <x:v>results (1).csv</x:v>
      </x:c>
      <x:c r="B17" t="str">
        <x:v>Open-source</x:v>
      </x:c>
      <x:c r="C17" t="str">
        <x:v>Self-hosted</x:v>
      </x:c>
      <x:c r="D17" t="str">
        <x:v>FLUX.2 Klein 4B</x:v>
      </x:c>
      <x:c r="E17" t="str">
        <x:v>2a0777a6-afc4-41f0-982d-6ca08e331953</x:v>
      </x:c>
      <x:c r="F17" t="str">
        <x:v>PO-01</x:v>
      </x:c>
      <x:c r="G17" t="str">
        <x:v>products_objects</x:v>
      </x:c>
      <x:c r="H17" t="n">
        <x:v>512</x:v>
      </x:c>
      <x:c r="I17" t="n">
        <x:v>512</x:v>
      </x:c>
      <x:c r="J17" s="34" t="n">
        <x:v>6.739</x:v>
      </x:c>
      <x:c r="K17" s="36" t="n">
        <x:v>11945</x:v>
      </x:c>
      <x:c r="L17" s="38"/>
      <x:c r="M17" s="48" t="b">
        <x:v>1</x:v>
      </x:c>
      <x:c r="N17" t="str"/>
      <x:c r="O17" t="str">
        <x:v>benchmark/results/baseline/512/images/flux-klein/2a0777a6_PO-01.png</x:v>
      </x:c>
      <x:c r="P17" t="n">
        <x:v>46287.296601863425</x:v>
      </x:c>
    </x:row>
    <x:row r="18">
      <x:c r="A18" t="str">
        <x:v>results (1).csv</x:v>
      </x:c>
      <x:c r="B18" t="str">
        <x:v>Open-source</x:v>
      </x:c>
      <x:c r="C18" t="str">
        <x:v>Self-hosted</x:v>
      </x:c>
      <x:c r="D18" t="str">
        <x:v>FLUX.2 Klein 4B</x:v>
      </x:c>
      <x:c r="E18" t="str">
        <x:v>2a0777a6-afc4-41f0-982d-6ca08e331953</x:v>
      </x:c>
      <x:c r="F18" t="str">
        <x:v>PO-02</x:v>
      </x:c>
      <x:c r="G18" t="str">
        <x:v>products_objects</x:v>
      </x:c>
      <x:c r="H18" t="n">
        <x:v>512</x:v>
      </x:c>
      <x:c r="I18" t="n">
        <x:v>512</x:v>
      </x:c>
      <x:c r="J18" s="34" t="n">
        <x:v>6.742</x:v>
      </x:c>
      <x:c r="K18" s="36" t="n">
        <x:v>11945</x:v>
      </x:c>
      <x:c r="L18" s="38"/>
      <x:c r="M18" s="48" t="b">
        <x:v>1</x:v>
      </x:c>
      <x:c r="N18" t="str"/>
      <x:c r="O18" t="str">
        <x:v>benchmark/results/baseline/512/images/flux-klein/2a0777a6_PO-02.png</x:v>
      </x:c>
      <x:c r="P18" t="n">
        <x:v>46287.29668042824</x:v>
      </x:c>
    </x:row>
    <x:row r="19">
      <x:c r="A19" t="str">
        <x:v>results (1).csv</x:v>
      </x:c>
      <x:c r="B19" t="str">
        <x:v>Open-source</x:v>
      </x:c>
      <x:c r="C19" t="str">
        <x:v>Self-hosted</x:v>
      </x:c>
      <x:c r="D19" t="str">
        <x:v>FLUX.2 Klein 4B</x:v>
      </x:c>
      <x:c r="E19" t="str">
        <x:v>2a0777a6-afc4-41f0-982d-6ca08e331953</x:v>
      </x:c>
      <x:c r="F19" t="str">
        <x:v>PO-03</x:v>
      </x:c>
      <x:c r="G19" t="str">
        <x:v>products_objects</x:v>
      </x:c>
      <x:c r="H19" t="n">
        <x:v>512</x:v>
      </x:c>
      <x:c r="I19" t="n">
        <x:v>512</x:v>
      </x:c>
      <x:c r="J19" s="34" t="n">
        <x:v>6.752</x:v>
      </x:c>
      <x:c r="K19" s="36" t="n">
        <x:v>11945</x:v>
      </x:c>
      <x:c r="L19" s="38"/>
      <x:c r="M19" s="48" t="b">
        <x:v>1</x:v>
      </x:c>
      <x:c r="N19" t="str"/>
      <x:c r="O19" t="str">
        <x:v>benchmark/results/baseline/512/images/flux-klein/2a0777a6_PO-03.png</x:v>
      </x:c>
      <x:c r="P19" t="n">
        <x:v>46287.296759108795</x:v>
      </x:c>
    </x:row>
    <x:row r="20">
      <x:c r="A20" t="str">
        <x:v>results (1).csv</x:v>
      </x:c>
      <x:c r="B20" t="str">
        <x:v>Open-source</x:v>
      </x:c>
      <x:c r="C20" t="str">
        <x:v>Self-hosted</x:v>
      </x:c>
      <x:c r="D20" t="str">
        <x:v>FLUX.2 Klein 4B</x:v>
      </x:c>
      <x:c r="E20" t="str">
        <x:v>2a0777a6-afc4-41f0-982d-6ca08e331953</x:v>
      </x:c>
      <x:c r="F20" t="str">
        <x:v>PO-04</x:v>
      </x:c>
      <x:c r="G20" t="str">
        <x:v>products_objects</x:v>
      </x:c>
      <x:c r="H20" t="n">
        <x:v>512</x:v>
      </x:c>
      <x:c r="I20" t="n">
        <x:v>512</x:v>
      </x:c>
      <x:c r="J20" s="34" t="n">
        <x:v>6.752</x:v>
      </x:c>
      <x:c r="K20" s="36" t="n">
        <x:v>11945</x:v>
      </x:c>
      <x:c r="L20" s="38"/>
      <x:c r="M20" s="48" t="b">
        <x:v>1</x:v>
      </x:c>
      <x:c r="N20" t="str"/>
      <x:c r="O20" t="str">
        <x:v>benchmark/results/baseline/512/images/flux-klein/2a0777a6_PO-04.png</x:v>
      </x:c>
      <x:c r="P20" t="n">
        <x:v>46287.29683777778</x:v>
      </x:c>
    </x:row>
    <x:row r="21">
      <x:c r="A21" t="str">
        <x:v>results (1).csv</x:v>
      </x:c>
      <x:c r="B21" t="str">
        <x:v>Open-source</x:v>
      </x:c>
      <x:c r="C21" t="str">
        <x:v>Self-hosted</x:v>
      </x:c>
      <x:c r="D21" t="str">
        <x:v>FLUX.2 Klein 4B</x:v>
      </x:c>
      <x:c r="E21" t="str">
        <x:v>2a0777a6-afc4-41f0-982d-6ca08e331953</x:v>
      </x:c>
      <x:c r="F21" t="str">
        <x:v>PO-05</x:v>
      </x:c>
      <x:c r="G21" t="str">
        <x:v>products_objects</x:v>
      </x:c>
      <x:c r="H21" t="n">
        <x:v>512</x:v>
      </x:c>
      <x:c r="I21" t="n">
        <x:v>512</x:v>
      </x:c>
      <x:c r="J21" s="34" t="n">
        <x:v>6.757</x:v>
      </x:c>
      <x:c r="K21" s="36" t="n">
        <x:v>11945</x:v>
      </x:c>
      <x:c r="L21" s="38"/>
      <x:c r="M21" s="48" t="b">
        <x:v>1</x:v>
      </x:c>
      <x:c r="N21" t="str"/>
      <x:c r="O21" t="str">
        <x:v>benchmark/results/baseline/512/images/flux-klein/2a0777a6_PO-05.png</x:v>
      </x:c>
      <x:c r="P21" t="n">
        <x:v>46287.296916493055</x:v>
      </x:c>
    </x:row>
    <x:row r="22">
      <x:c r="A22" t="str">
        <x:v>results (1).csv</x:v>
      </x:c>
      <x:c r="B22" t="str">
        <x:v>Open-source</x:v>
      </x:c>
      <x:c r="C22" t="str">
        <x:v>Self-hosted</x:v>
      </x:c>
      <x:c r="D22" t="str">
        <x:v>FLUX.2 Klein 4B</x:v>
      </x:c>
      <x:c r="E22" t="str">
        <x:v>2a0777a6-afc4-41f0-982d-6ca08e331953</x:v>
      </x:c>
      <x:c r="F22" t="str">
        <x:v>CC-01</x:v>
      </x:c>
      <x:c r="G22" t="str">
        <x:v>complex_compositions</x:v>
      </x:c>
      <x:c r="H22" t="n">
        <x:v>512</x:v>
      </x:c>
      <x:c r="I22" t="n">
        <x:v>512</x:v>
      </x:c>
      <x:c r="J22" s="34" t="n">
        <x:v>6.761</x:v>
      </x:c>
      <x:c r="K22" s="36" t="n">
        <x:v>11945</x:v>
      </x:c>
      <x:c r="L22" s="38"/>
      <x:c r="M22" s="48" t="b">
        <x:v>1</x:v>
      </x:c>
      <x:c r="N22" t="str"/>
      <x:c r="O22" t="str">
        <x:v>benchmark/results/baseline/512/images/flux-klein/2a0777a6_CC-01.png</x:v>
      </x:c>
      <x:c r="P22" t="n">
        <x:v>46287.29699524306</x:v>
      </x:c>
    </x:row>
    <x:row r="23">
      <x:c r="A23" t="str">
        <x:v>results (1).csv</x:v>
      </x:c>
      <x:c r="B23" t="str">
        <x:v>Open-source</x:v>
      </x:c>
      <x:c r="C23" t="str">
        <x:v>Self-hosted</x:v>
      </x:c>
      <x:c r="D23" t="str">
        <x:v>FLUX.2 Klein 4B</x:v>
      </x:c>
      <x:c r="E23" t="str">
        <x:v>2a0777a6-afc4-41f0-982d-6ca08e331953</x:v>
      </x:c>
      <x:c r="F23" t="str">
        <x:v>CC-02</x:v>
      </x:c>
      <x:c r="G23" t="str">
        <x:v>complex_compositions</x:v>
      </x:c>
      <x:c r="H23" t="n">
        <x:v>512</x:v>
      </x:c>
      <x:c r="I23" t="n">
        <x:v>512</x:v>
      </x:c>
      <x:c r="J23" s="34" t="n">
        <x:v>6.763</x:v>
      </x:c>
      <x:c r="K23" s="36" t="n">
        <x:v>11945</x:v>
      </x:c>
      <x:c r="L23" s="38"/>
      <x:c r="M23" s="48" t="b">
        <x:v>1</x:v>
      </x:c>
      <x:c r="N23" t="str"/>
      <x:c r="O23" t="str">
        <x:v>benchmark/results/baseline/512/images/flux-klein/2a0777a6_CC-02.png</x:v>
      </x:c>
      <x:c r="P23" t="n">
        <x:v>46287.297074050926</x:v>
      </x:c>
    </x:row>
    <x:row r="24">
      <x:c r="A24" t="str">
        <x:v>results (1).csv</x:v>
      </x:c>
      <x:c r="B24" t="str">
        <x:v>Open-source</x:v>
      </x:c>
      <x:c r="C24" t="str">
        <x:v>Self-hosted</x:v>
      </x:c>
      <x:c r="D24" t="str">
        <x:v>FLUX.2 Klein 4B</x:v>
      </x:c>
      <x:c r="E24" t="str">
        <x:v>2a0777a6-afc4-41f0-982d-6ca08e331953</x:v>
      </x:c>
      <x:c r="F24" t="str">
        <x:v>CC-03</x:v>
      </x:c>
      <x:c r="G24" t="str">
        <x:v>complex_compositions</x:v>
      </x:c>
      <x:c r="H24" t="n">
        <x:v>512</x:v>
      </x:c>
      <x:c r="I24" t="n">
        <x:v>512</x:v>
      </x:c>
      <x:c r="J24" s="34" t="n">
        <x:v>6.772</x:v>
      </x:c>
      <x:c r="K24" s="36" t="n">
        <x:v>11945</x:v>
      </x:c>
      <x:c r="L24" s="38"/>
      <x:c r="M24" s="48" t="b">
        <x:v>1</x:v>
      </x:c>
      <x:c r="N24" t="str"/>
      <x:c r="O24" t="str">
        <x:v>benchmark/results/baseline/512/images/flux-klein/2a0777a6_CC-03.png</x:v>
      </x:c>
      <x:c r="P24" t="n">
        <x:v>46287.29715295139</x:v>
      </x:c>
    </x:row>
    <x:row r="25">
      <x:c r="A25" t="str">
        <x:v>results (1).csv</x:v>
      </x:c>
      <x:c r="B25" t="str">
        <x:v>Open-source</x:v>
      </x:c>
      <x:c r="C25" t="str">
        <x:v>Self-hosted</x:v>
      </x:c>
      <x:c r="D25" t="str">
        <x:v>FLUX.2 Klein 4B</x:v>
      </x:c>
      <x:c r="E25" t="str">
        <x:v>2a0777a6-afc4-41f0-982d-6ca08e331953</x:v>
      </x:c>
      <x:c r="F25" t="str">
        <x:v>CC-04</x:v>
      </x:c>
      <x:c r="G25" t="str">
        <x:v>complex_compositions</x:v>
      </x:c>
      <x:c r="H25" t="n">
        <x:v>512</x:v>
      </x:c>
      <x:c r="I25" t="n">
        <x:v>512</x:v>
      </x:c>
      <x:c r="J25" s="34" t="n">
        <x:v>6.776</x:v>
      </x:c>
      <x:c r="K25" s="36" t="n">
        <x:v>11945</x:v>
      </x:c>
      <x:c r="L25" s="38"/>
      <x:c r="M25" s="48" t="b">
        <x:v>1</x:v>
      </x:c>
      <x:c r="N25" t="str"/>
      <x:c r="O25" t="str">
        <x:v>benchmark/results/baseline/512/images/flux-klein/2a0777a6_CC-04.png</x:v>
      </x:c>
      <x:c r="P25" t="n">
        <x:v>46287.29723193287</x:v>
      </x:c>
    </x:row>
    <x:row r="26">
      <x:c r="A26" t="str">
        <x:v>results (1).csv</x:v>
      </x:c>
      <x:c r="B26" t="str">
        <x:v>Open-source</x:v>
      </x:c>
      <x:c r="C26" t="str">
        <x:v>Self-hosted</x:v>
      </x:c>
      <x:c r="D26" t="str">
        <x:v>FLUX.2 Klein 4B</x:v>
      </x:c>
      <x:c r="E26" t="str">
        <x:v>2a0777a6-afc4-41f0-982d-6ca08e331953</x:v>
      </x:c>
      <x:c r="F26" t="str">
        <x:v>CC-05</x:v>
      </x:c>
      <x:c r="G26" t="str">
        <x:v>complex_compositions</x:v>
      </x:c>
      <x:c r="H26" t="n">
        <x:v>512</x:v>
      </x:c>
      <x:c r="I26" t="n">
        <x:v>512</x:v>
      </x:c>
      <x:c r="J26" s="34" t="n">
        <x:v>6.783</x:v>
      </x:c>
      <x:c r="K26" s="36" t="n">
        <x:v>11945</x:v>
      </x:c>
      <x:c r="L26" s="38"/>
      <x:c r="M26" s="48" t="b">
        <x:v>1</x:v>
      </x:c>
      <x:c r="N26" t="str"/>
      <x:c r="O26" t="str">
        <x:v>benchmark/results/baseline/512/images/flux-klein/2a0777a6_CC-05.png</x:v>
      </x:c>
      <x:c r="P26" t="n">
        <x:v>46287.29731097222</x:v>
      </x:c>
    </x:row>
    <x:row r="27">
      <x:c r="A27" t="str">
        <x:v>results (2).csv</x:v>
      </x:c>
      <x:c r="B27" t="str">
        <x:v>Open-source</x:v>
      </x:c>
      <x:c r="C27" t="str">
        <x:v>Self-hosted</x:v>
      </x:c>
      <x:c r="D27" t="str">
        <x:v>Z-Image Turbo</x:v>
      </x:c>
      <x:c r="E27" t="str">
        <x:v>d1116483-4819-4997-9ecb-9a42dc5fc96d</x:v>
      </x:c>
      <x:c r="F27" t="str">
        <x:v>PL-01</x:v>
      </x:c>
      <x:c r="G27" t="str">
        <x:v>people_lifestyle</x:v>
      </x:c>
      <x:c r="H27" t="n">
        <x:v>512</x:v>
      </x:c>
      <x:c r="I27" t="n">
        <x:v>512</x:v>
      </x:c>
      <x:c r="J27" s="34" t="n">
        <x:v>14.375</x:v>
      </x:c>
      <x:c r="K27" s="36" t="n">
        <x:v>8051</x:v>
      </x:c>
      <x:c r="L27" s="38"/>
      <x:c r="M27" s="48" t="b">
        <x:v>1</x:v>
      </x:c>
      <x:c r="N27" t="str"/>
      <x:c r="O27" t="str">
        <x:v>benchmark/results/baseline/512/images/z-image-turbo-w4/PL-01.png</x:v>
      </x:c>
      <x:c r="P27" t="n">
        <x:v>46286.70144826389</x:v>
      </x:c>
    </x:row>
    <x:row r="28">
      <x:c r="A28" t="str">
        <x:v>results (2).csv</x:v>
      </x:c>
      <x:c r="B28" t="str">
        <x:v>Open-source</x:v>
      </x:c>
      <x:c r="C28" t="str">
        <x:v>Self-hosted</x:v>
      </x:c>
      <x:c r="D28" t="str">
        <x:v>Z-Image Turbo</x:v>
      </x:c>
      <x:c r="E28" t="str">
        <x:v>d1116483-4819-4997-9ecb-9a42dc5fc96d</x:v>
      </x:c>
      <x:c r="F28" t="str">
        <x:v>PL-02</x:v>
      </x:c>
      <x:c r="G28" t="str">
        <x:v>people_lifestyle</x:v>
      </x:c>
      <x:c r="H28" t="n">
        <x:v>512</x:v>
      </x:c>
      <x:c r="I28" t="n">
        <x:v>512</x:v>
      </x:c>
      <x:c r="J28" s="34" t="n">
        <x:v>14.357</x:v>
      </x:c>
      <x:c r="K28" s="36" t="n">
        <x:v>8051</x:v>
      </x:c>
      <x:c r="L28" s="38"/>
      <x:c r="M28" s="48" t="b">
        <x:v>1</x:v>
      </x:c>
      <x:c r="N28" t="str"/>
      <x:c r="O28" t="str">
        <x:v>benchmark/results/baseline/512/images/z-image-turbo-w4/PL-02.png</x:v>
      </x:c>
      <x:c r="P28" t="n">
        <x:v>46286.701615833335</x:v>
      </x:c>
    </x:row>
    <x:row r="29">
      <x:c r="A29" t="str">
        <x:v>results (2).csv</x:v>
      </x:c>
      <x:c r="B29" t="str">
        <x:v>Open-source</x:v>
      </x:c>
      <x:c r="C29" t="str">
        <x:v>Self-hosted</x:v>
      </x:c>
      <x:c r="D29" t="str">
        <x:v>Z-Image Turbo</x:v>
      </x:c>
      <x:c r="E29" t="str">
        <x:v>d1116483-4819-4997-9ecb-9a42dc5fc96d</x:v>
      </x:c>
      <x:c r="F29" t="str">
        <x:v>PL-03</x:v>
      </x:c>
      <x:c r="G29" t="str">
        <x:v>people_lifestyle</x:v>
      </x:c>
      <x:c r="H29" t="n">
        <x:v>512</x:v>
      </x:c>
      <x:c r="I29" t="n">
        <x:v>512</x:v>
      </x:c>
      <x:c r="J29" s="34" t="n">
        <x:v>14.517</x:v>
      </x:c>
      <x:c r="K29" s="36" t="n">
        <x:v>8051</x:v>
      </x:c>
      <x:c r="L29" s="38"/>
      <x:c r="M29" s="48" t="b">
        <x:v>1</x:v>
      </x:c>
      <x:c r="N29" t="str"/>
      <x:c r="O29" t="str">
        <x:v>benchmark/results/baseline/512/images/z-image-turbo-w4/PL-03.png</x:v>
      </x:c>
      <x:c r="P29" t="n">
        <x:v>46286.7017847338</x:v>
      </x:c>
    </x:row>
    <x:row r="30">
      <x:c r="A30" t="str">
        <x:v>results (2).csv</x:v>
      </x:c>
      <x:c r="B30" t="str">
        <x:v>Open-source</x:v>
      </x:c>
      <x:c r="C30" t="str">
        <x:v>Self-hosted</x:v>
      </x:c>
      <x:c r="D30" t="str">
        <x:v>Z-Image Turbo</x:v>
      </x:c>
      <x:c r="E30" t="str">
        <x:v>d1116483-4819-4997-9ecb-9a42dc5fc96d</x:v>
      </x:c>
      <x:c r="F30" t="str">
        <x:v>PL-04</x:v>
      </x:c>
      <x:c r="G30" t="str">
        <x:v>people_lifestyle</x:v>
      </x:c>
      <x:c r="H30" t="n">
        <x:v>512</x:v>
      </x:c>
      <x:c r="I30" t="n">
        <x:v>512</x:v>
      </x:c>
      <x:c r="J30" s="34" t="n">
        <x:v>15.209</x:v>
      </x:c>
      <x:c r="K30" s="36" t="n">
        <x:v>8053</x:v>
      </x:c>
      <x:c r="L30" s="38"/>
      <x:c r="M30" s="48" t="b">
        <x:v>1</x:v>
      </x:c>
      <x:c r="N30" t="str"/>
      <x:c r="O30" t="str">
        <x:v>benchmark/results/baseline/512/images/z-image-turbo-w4/PL-04.png</x:v>
      </x:c>
      <x:c r="P30" t="n">
        <x:v>46286.70196207176</x:v>
      </x:c>
    </x:row>
    <x:row r="31">
      <x:c r="A31" t="str">
        <x:v>results (2).csv</x:v>
      </x:c>
      <x:c r="B31" t="str">
        <x:v>Open-source</x:v>
      </x:c>
      <x:c r="C31" t="str">
        <x:v>Self-hosted</x:v>
      </x:c>
      <x:c r="D31" t="str">
        <x:v>Z-Image Turbo</x:v>
      </x:c>
      <x:c r="E31" t="str">
        <x:v>d1116483-4819-4997-9ecb-9a42dc5fc96d</x:v>
      </x:c>
      <x:c r="F31" t="str">
        <x:v>PL-05</x:v>
      </x:c>
      <x:c r="G31" t="str">
        <x:v>people_lifestyle</x:v>
      </x:c>
      <x:c r="H31" t="n">
        <x:v>512</x:v>
      </x:c>
      <x:c r="I31" t="n">
        <x:v>512</x:v>
      </x:c>
      <x:c r="J31" s="34" t="n">
        <x:v>14.519</x:v>
      </x:c>
      <x:c r="K31" s="36" t="n">
        <x:v>8053</x:v>
      </x:c>
      <x:c r="L31" s="38"/>
      <x:c r="M31" s="48" t="b">
        <x:v>1</x:v>
      </x:c>
      <x:c r="N31" t="str"/>
      <x:c r="O31" t="str">
        <x:v>benchmark/results/baseline/512/images/z-image-turbo-w4/PL-05.png</x:v>
      </x:c>
      <x:c r="P31" t="n">
        <x:v>46286.70213038194</x:v>
      </x:c>
    </x:row>
    <x:row r="32">
      <x:c r="A32" t="str">
        <x:v>results (2).csv</x:v>
      </x:c>
      <x:c r="B32" t="str">
        <x:v>Open-source</x:v>
      </x:c>
      <x:c r="C32" t="str">
        <x:v>Self-hosted</x:v>
      </x:c>
      <x:c r="D32" t="str">
        <x:v>Z-Image Turbo</x:v>
      </x:c>
      <x:c r="E32" t="str">
        <x:v>d1116483-4819-4997-9ecb-9a42dc5fc96d</x:v>
      </x:c>
      <x:c r="F32" t="str">
        <x:v>TT-01</x:v>
      </x:c>
      <x:c r="G32" t="str">
        <x:v>text_typography</x:v>
      </x:c>
      <x:c r="H32" t="n">
        <x:v>512</x:v>
      </x:c>
      <x:c r="I32" t="n">
        <x:v>512</x:v>
      </x:c>
      <x:c r="J32" s="34" t="n">
        <x:v>14.688</x:v>
      </x:c>
      <x:c r="K32" s="36" t="n">
        <x:v>8053</x:v>
      </x:c>
      <x:c r="L32" s="38"/>
      <x:c r="M32" s="48" t="b">
        <x:v>1</x:v>
      </x:c>
      <x:c r="N32" t="str"/>
      <x:c r="O32" t="str">
        <x:v>benchmark/results/baseline/512/images/z-image-turbo-w4/TT-01.png</x:v>
      </x:c>
      <x:c r="P32" t="n">
        <x:v>46286.70230188657</x:v>
      </x:c>
    </x:row>
    <x:row r="33">
      <x:c r="A33" t="str">
        <x:v>results (2).csv</x:v>
      </x:c>
      <x:c r="B33" t="str">
        <x:v>Open-source</x:v>
      </x:c>
      <x:c r="C33" t="str">
        <x:v>Self-hosted</x:v>
      </x:c>
      <x:c r="D33" t="str">
        <x:v>Z-Image Turbo</x:v>
      </x:c>
      <x:c r="E33" t="str">
        <x:v>d1116483-4819-4997-9ecb-9a42dc5fc96d</x:v>
      </x:c>
      <x:c r="F33" t="str">
        <x:v>TT-02</x:v>
      </x:c>
      <x:c r="G33" t="str">
        <x:v>text_typography</x:v>
      </x:c>
      <x:c r="H33" t="n">
        <x:v>512</x:v>
      </x:c>
      <x:c r="I33" t="n">
        <x:v>512</x:v>
      </x:c>
      <x:c r="J33" s="34" t="n">
        <x:v>14.721</x:v>
      </x:c>
      <x:c r="K33" s="36" t="n">
        <x:v>8053</x:v>
      </x:c>
      <x:c r="L33" s="38"/>
      <x:c r="M33" s="48" t="b">
        <x:v>1</x:v>
      </x:c>
      <x:c r="N33" t="str"/>
      <x:c r="O33" t="str">
        <x:v>benchmark/results/baseline/512/images/z-image-turbo-w4/TT-02.png</x:v>
      </x:c>
      <x:c r="P33" t="n">
        <x:v>46286.70247271991</x:v>
      </x:c>
    </x:row>
    <x:row r="34">
      <x:c r="A34" t="str">
        <x:v>results (2).csv</x:v>
      </x:c>
      <x:c r="B34" t="str">
        <x:v>Open-source</x:v>
      </x:c>
      <x:c r="C34" t="str">
        <x:v>Self-hosted</x:v>
      </x:c>
      <x:c r="D34" t="str">
        <x:v>Z-Image Turbo</x:v>
      </x:c>
      <x:c r="E34" t="str">
        <x:v>d1116483-4819-4997-9ecb-9a42dc5fc96d</x:v>
      </x:c>
      <x:c r="F34" t="str">
        <x:v>TT-03</x:v>
      </x:c>
      <x:c r="G34" t="str">
        <x:v>text_typography</x:v>
      </x:c>
      <x:c r="H34" t="n">
        <x:v>512</x:v>
      </x:c>
      <x:c r="I34" t="n">
        <x:v>512</x:v>
      </x:c>
      <x:c r="J34" s="34" t="n">
        <x:v>14.721</x:v>
      </x:c>
      <x:c r="K34" s="36" t="n">
        <x:v>8053</x:v>
      </x:c>
      <x:c r="L34" s="38"/>
      <x:c r="M34" s="48" t="b">
        <x:v>1</x:v>
      </x:c>
      <x:c r="N34" t="str"/>
      <x:c r="O34" t="str">
        <x:v>benchmark/results/baseline/512/images/z-image-turbo-w4/TT-03.png</x:v>
      </x:c>
      <x:c r="P34" t="n">
        <x:v>46286.70264462963</x:v>
      </x:c>
    </x:row>
    <x:row r="35">
      <x:c r="A35" t="str">
        <x:v>results (2).csv</x:v>
      </x:c>
      <x:c r="B35" t="str">
        <x:v>Open-source</x:v>
      </x:c>
      <x:c r="C35" t="str">
        <x:v>Self-hosted</x:v>
      </x:c>
      <x:c r="D35" t="str">
        <x:v>Z-Image Turbo</x:v>
      </x:c>
      <x:c r="E35" t="str">
        <x:v>d1116483-4819-4997-9ecb-9a42dc5fc96d</x:v>
      </x:c>
      <x:c r="F35" t="str">
        <x:v>TT-04</x:v>
      </x:c>
      <x:c r="G35" t="str">
        <x:v>text_typography</x:v>
      </x:c>
      <x:c r="H35" t="n">
        <x:v>512</x:v>
      </x:c>
      <x:c r="I35" t="n">
        <x:v>512</x:v>
      </x:c>
      <x:c r="J35" s="34" t="n">
        <x:v>14.735</x:v>
      </x:c>
      <x:c r="K35" s="36" t="n">
        <x:v>8053</x:v>
      </x:c>
      <x:c r="L35" s="38"/>
      <x:c r="M35" s="48" t="b">
        <x:v>1</x:v>
      </x:c>
      <x:c r="N35" t="str"/>
      <x:c r="O35" t="str">
        <x:v>benchmark/results/baseline/512/images/z-image-turbo-w4/TT-04.png</x:v>
      </x:c>
      <x:c r="P35" t="n">
        <x:v>46286.70281553241</x:v>
      </x:c>
    </x:row>
    <x:row r="36">
      <x:c r="A36" t="str">
        <x:v>results (2).csv</x:v>
      </x:c>
      <x:c r="B36" t="str">
        <x:v>Open-source</x:v>
      </x:c>
      <x:c r="C36" t="str">
        <x:v>Self-hosted</x:v>
      </x:c>
      <x:c r="D36" t="str">
        <x:v>Z-Image Turbo</x:v>
      </x:c>
      <x:c r="E36" t="str">
        <x:v>d1116483-4819-4997-9ecb-9a42dc5fc96d</x:v>
      </x:c>
      <x:c r="F36" t="str">
        <x:v>TT-05</x:v>
      </x:c>
      <x:c r="G36" t="str">
        <x:v>text_typography</x:v>
      </x:c>
      <x:c r="H36" t="n">
        <x:v>512</x:v>
      </x:c>
      <x:c r="I36" t="n">
        <x:v>512</x:v>
      </x:c>
      <x:c r="J36" s="34" t="n">
        <x:v>14.745</x:v>
      </x:c>
      <x:c r="K36" s="36" t="n">
        <x:v>8053</x:v>
      </x:c>
      <x:c r="L36" s="38"/>
      <x:c r="M36" s="48" t="b">
        <x:v>1</x:v>
      </x:c>
      <x:c r="N36" t="str"/>
      <x:c r="O36" t="str">
        <x:v>benchmark/results/baseline/512/images/z-image-turbo-w4/TT-05.png</x:v>
      </x:c>
      <x:c r="P36" t="n">
        <x:v>46286.70298686343</x:v>
      </x:c>
    </x:row>
    <x:row r="37">
      <x:c r="A37" t="str">
        <x:v>results (2).csv</x:v>
      </x:c>
      <x:c r="B37" t="str">
        <x:v>Open-source</x:v>
      </x:c>
      <x:c r="C37" t="str">
        <x:v>Self-hosted</x:v>
      </x:c>
      <x:c r="D37" t="str">
        <x:v>Z-Image Turbo</x:v>
      </x:c>
      <x:c r="E37" t="str">
        <x:v>d1116483-4819-4997-9ecb-9a42dc5fc96d</x:v>
      </x:c>
      <x:c r="F37" t="str">
        <x:v>BA-01</x:v>
      </x:c>
      <x:c r="G37" t="str">
        <x:v>branding_advertising</x:v>
      </x:c>
      <x:c r="H37" t="n">
        <x:v>512</x:v>
      </x:c>
      <x:c r="I37" t="n">
        <x:v>512</x:v>
      </x:c>
      <x:c r="J37" s="34" t="n">
        <x:v>14.238</x:v>
      </x:c>
      <x:c r="K37" s="36" t="n">
        <x:v>8053</x:v>
      </x:c>
      <x:c r="L37" s="38"/>
      <x:c r="M37" s="48" t="b">
        <x:v>1</x:v>
      </x:c>
      <x:c r="N37" t="str"/>
      <x:c r="O37" t="str">
        <x:v>benchmark/results/baseline/512/images/z-image-turbo-w4/BA-01.png</x:v>
      </x:c>
      <x:c r="P37" t="n">
        <x:v>46286.70315263889</x:v>
      </x:c>
    </x:row>
    <x:row r="38">
      <x:c r="A38" t="str">
        <x:v>results (2).csv</x:v>
      </x:c>
      <x:c r="B38" t="str">
        <x:v>Open-source</x:v>
      </x:c>
      <x:c r="C38" t="str">
        <x:v>Self-hosted</x:v>
      </x:c>
      <x:c r="D38" t="str">
        <x:v>Z-Image Turbo</x:v>
      </x:c>
      <x:c r="E38" t="str">
        <x:v>d1116483-4819-4997-9ecb-9a42dc5fc96d</x:v>
      </x:c>
      <x:c r="F38" t="str">
        <x:v>BA-02</x:v>
      </x:c>
      <x:c r="G38" t="str">
        <x:v>branding_advertising</x:v>
      </x:c>
      <x:c r="H38" t="n">
        <x:v>512</x:v>
      </x:c>
      <x:c r="I38" t="n">
        <x:v>512</x:v>
      </x:c>
      <x:c r="J38" s="34" t="n">
        <x:v>14.26</x:v>
      </x:c>
      <x:c r="K38" s="36" t="n">
        <x:v>8053</x:v>
      </x:c>
      <x:c r="L38" s="38"/>
      <x:c r="M38" s="48" t="b">
        <x:v>1</x:v>
      </x:c>
      <x:c r="N38" t="str"/>
      <x:c r="O38" t="str">
        <x:v>benchmark/results/baseline/512/images/z-image-turbo-w4/BA-02.png</x:v>
      </x:c>
      <x:c r="P38" t="n">
        <x:v>46286.7033181713</x:v>
      </x:c>
    </x:row>
    <x:row r="39">
      <x:c r="A39" t="str">
        <x:v>results (2).csv</x:v>
      </x:c>
      <x:c r="B39" t="str">
        <x:v>Open-source</x:v>
      </x:c>
      <x:c r="C39" t="str">
        <x:v>Self-hosted</x:v>
      </x:c>
      <x:c r="D39" t="str">
        <x:v>Z-Image Turbo</x:v>
      </x:c>
      <x:c r="E39" t="str">
        <x:v>d1116483-4819-4997-9ecb-9a42dc5fc96d</x:v>
      </x:c>
      <x:c r="F39" t="str">
        <x:v>BA-03</x:v>
      </x:c>
      <x:c r="G39" t="str">
        <x:v>branding_advertising</x:v>
      </x:c>
      <x:c r="H39" t="n">
        <x:v>512</x:v>
      </x:c>
      <x:c r="I39" t="n">
        <x:v>512</x:v>
      </x:c>
      <x:c r="J39" s="34" t="n">
        <x:v>14.25</x:v>
      </x:c>
      <x:c r="K39" s="36" t="n">
        <x:v>8053</x:v>
      </x:c>
      <x:c r="L39" s="38"/>
      <x:c r="M39" s="48" t="b">
        <x:v>1</x:v>
      </x:c>
      <x:c r="N39" t="str"/>
      <x:c r="O39" t="str">
        <x:v>benchmark/results/baseline/512/images/z-image-turbo-w4/BA-03.png</x:v>
      </x:c>
      <x:c r="P39" t="n">
        <x:v>46286.70348372685</x:v>
      </x:c>
    </x:row>
    <x:row r="40">
      <x:c r="A40" t="str">
        <x:v>results (2).csv</x:v>
      </x:c>
      <x:c r="B40" t="str">
        <x:v>Open-source</x:v>
      </x:c>
      <x:c r="C40" t="str">
        <x:v>Self-hosted</x:v>
      </x:c>
      <x:c r="D40" t="str">
        <x:v>Z-Image Turbo</x:v>
      </x:c>
      <x:c r="E40" t="str">
        <x:v>d1116483-4819-4997-9ecb-9a42dc5fc96d</x:v>
      </x:c>
      <x:c r="F40" t="str">
        <x:v>BA-04</x:v>
      </x:c>
      <x:c r="G40" t="str">
        <x:v>branding_advertising</x:v>
      </x:c>
      <x:c r="H40" t="n">
        <x:v>512</x:v>
      </x:c>
      <x:c r="I40" t="n">
        <x:v>512</x:v>
      </x:c>
      <x:c r="J40" s="34" t="n">
        <x:v>14.778</x:v>
      </x:c>
      <x:c r="K40" s="36" t="n">
        <x:v>8053</x:v>
      </x:c>
      <x:c r="L40" s="38"/>
      <x:c r="M40" s="48" t="b">
        <x:v>1</x:v>
      </x:c>
      <x:c r="N40" t="str"/>
      <x:c r="O40" t="str">
        <x:v>benchmark/results/baseline/512/images/z-image-turbo-w4/BA-04.png</x:v>
      </x:c>
      <x:c r="P40" t="n">
        <x:v>46286.70365552083</x:v>
      </x:c>
    </x:row>
    <x:row r="41">
      <x:c r="A41" t="str">
        <x:v>results (2).csv</x:v>
      </x:c>
      <x:c r="B41" t="str">
        <x:v>Open-source</x:v>
      </x:c>
      <x:c r="C41" t="str">
        <x:v>Self-hosted</x:v>
      </x:c>
      <x:c r="D41" t="str">
        <x:v>Z-Image Turbo</x:v>
      </x:c>
      <x:c r="E41" t="str">
        <x:v>d1116483-4819-4997-9ecb-9a42dc5fc96d</x:v>
      </x:c>
      <x:c r="F41" t="str">
        <x:v>BA-05</x:v>
      </x:c>
      <x:c r="G41" t="str">
        <x:v>branding_advertising</x:v>
      </x:c>
      <x:c r="H41" t="n">
        <x:v>512</x:v>
      </x:c>
      <x:c r="I41" t="n">
        <x:v>512</x:v>
      </x:c>
      <x:c r="J41" s="34" t="n">
        <x:v>14.796</x:v>
      </x:c>
      <x:c r="K41" s="36" t="n">
        <x:v>8053</x:v>
      </x:c>
      <x:c r="L41" s="38"/>
      <x:c r="M41" s="48" t="b">
        <x:v>1</x:v>
      </x:c>
      <x:c r="N41" t="str"/>
      <x:c r="O41" t="str">
        <x:v>benchmark/results/baseline/512/images/z-image-turbo-w4/BA-05.png</x:v>
      </x:c>
      <x:c r="P41" t="n">
        <x:v>46286.70382815972</x:v>
      </x:c>
    </x:row>
    <x:row r="42">
      <x:c r="A42" t="str">
        <x:v>results (2).csv</x:v>
      </x:c>
      <x:c r="B42" t="str">
        <x:v>Open-source</x:v>
      </x:c>
      <x:c r="C42" t="str">
        <x:v>Self-hosted</x:v>
      </x:c>
      <x:c r="D42" t="str">
        <x:v>Z-Image Turbo</x:v>
      </x:c>
      <x:c r="E42" t="str">
        <x:v>d1116483-4819-4997-9ecb-9a42dc5fc96d</x:v>
      </x:c>
      <x:c r="F42" t="str">
        <x:v>PO-01</x:v>
      </x:c>
      <x:c r="G42" t="str">
        <x:v>products_objects</x:v>
      </x:c>
      <x:c r="H42" t="n">
        <x:v>512</x:v>
      </x:c>
      <x:c r="I42" t="n">
        <x:v>512</x:v>
      </x:c>
      <x:c r="J42" s="34" t="n">
        <x:v>14.263</x:v>
      </x:c>
      <x:c r="K42" s="36" t="n">
        <x:v>8053</x:v>
      </x:c>
      <x:c r="L42" s="38"/>
      <x:c r="M42" s="48" t="b">
        <x:v>1</x:v>
      </x:c>
      <x:c r="N42" t="str"/>
      <x:c r="O42" t="str">
        <x:v>benchmark/results/baseline/512/images/z-image-turbo-w4/PO-01.png</x:v>
      </x:c>
      <x:c r="P42" t="n">
        <x:v>46286.70399400463</x:v>
      </x:c>
    </x:row>
    <x:row r="43">
      <x:c r="A43" t="str">
        <x:v>results (2).csv</x:v>
      </x:c>
      <x:c r="B43" t="str">
        <x:v>Open-source</x:v>
      </x:c>
      <x:c r="C43" t="str">
        <x:v>Self-hosted</x:v>
      </x:c>
      <x:c r="D43" t="str">
        <x:v>Z-Image Turbo</x:v>
      </x:c>
      <x:c r="E43" t="str">
        <x:v>d1116483-4819-4997-9ecb-9a42dc5fc96d</x:v>
      </x:c>
      <x:c r="F43" t="str">
        <x:v>PO-02</x:v>
      </x:c>
      <x:c r="G43" t="str">
        <x:v>products_objects</x:v>
      </x:c>
      <x:c r="H43" t="n">
        <x:v>512</x:v>
      </x:c>
      <x:c r="I43" t="n">
        <x:v>512</x:v>
      </x:c>
      <x:c r="J43" s="34" t="n">
        <x:v>14.156</x:v>
      </x:c>
      <x:c r="K43" s="36" t="n">
        <x:v>8053</x:v>
      </x:c>
      <x:c r="L43" s="38"/>
      <x:c r="M43" s="48" t="b">
        <x:v>1</x:v>
      </x:c>
      <x:c r="N43" t="str"/>
      <x:c r="O43" t="str">
        <x:v>benchmark/results/baseline/512/images/z-image-turbo-w4/PO-02.png</x:v>
      </x:c>
      <x:c r="P43" t="n">
        <x:v>46286.70415810185</x:v>
      </x:c>
    </x:row>
    <x:row r="44">
      <x:c r="A44" t="str">
        <x:v>results (2).csv</x:v>
      </x:c>
      <x:c r="B44" t="str">
        <x:v>Open-source</x:v>
      </x:c>
      <x:c r="C44" t="str">
        <x:v>Self-hosted</x:v>
      </x:c>
      <x:c r="D44" t="str">
        <x:v>Z-Image Turbo</x:v>
      </x:c>
      <x:c r="E44" t="str">
        <x:v>d1116483-4819-4997-9ecb-9a42dc5fc96d</x:v>
      </x:c>
      <x:c r="F44" t="str">
        <x:v>PO-03</x:v>
      </x:c>
      <x:c r="G44" t="str">
        <x:v>products_objects</x:v>
      </x:c>
      <x:c r="H44" t="n">
        <x:v>512</x:v>
      </x:c>
      <x:c r="I44" t="n">
        <x:v>512</x:v>
      </x:c>
      <x:c r="J44" s="34" t="n">
        <x:v>14.287</x:v>
      </x:c>
      <x:c r="K44" s="36" t="n">
        <x:v>8053</x:v>
      </x:c>
      <x:c r="L44" s="38"/>
      <x:c r="M44" s="48" t="b">
        <x:v>1</x:v>
      </x:c>
      <x:c r="N44" t="str"/>
      <x:c r="O44" t="str">
        <x:v>benchmark/results/baseline/512/images/z-image-turbo-w4/PO-03.png</x:v>
      </x:c>
      <x:c r="P44" t="n">
        <x:v>46286.70432506945</x:v>
      </x:c>
    </x:row>
    <x:row r="45">
      <x:c r="A45" t="str">
        <x:v>results (2).csv</x:v>
      </x:c>
      <x:c r="B45" t="str">
        <x:v>Open-source</x:v>
      </x:c>
      <x:c r="C45" t="str">
        <x:v>Self-hosted</x:v>
      </x:c>
      <x:c r="D45" t="str">
        <x:v>Z-Image Turbo</x:v>
      </x:c>
      <x:c r="E45" t="str">
        <x:v>d1116483-4819-4997-9ecb-9a42dc5fc96d</x:v>
      </x:c>
      <x:c r="F45" t="str">
        <x:v>PO-04</x:v>
      </x:c>
      <x:c r="G45" t="str">
        <x:v>products_objects</x:v>
      </x:c>
      <x:c r="H45" t="n">
        <x:v>512</x:v>
      </x:c>
      <x:c r="I45" t="n">
        <x:v>512</x:v>
      </x:c>
      <x:c r="J45" s="34" t="n">
        <x:v>14.161</x:v>
      </x:c>
      <x:c r="K45" s="36" t="n">
        <x:v>8053</x:v>
      </x:c>
      <x:c r="L45" s="38"/>
      <x:c r="M45" s="48" t="b">
        <x:v>1</x:v>
      </x:c>
      <x:c r="N45" t="str"/>
      <x:c r="O45" t="str">
        <x:v>benchmark/results/baseline/512/images/z-image-turbo-w4/PO-04.png</x:v>
      </x:c>
      <x:c r="P45" t="n">
        <x:v>46286.70449041667</x:v>
      </x:c>
    </x:row>
    <x:row r="46">
      <x:c r="A46" t="str">
        <x:v>results (2).csv</x:v>
      </x:c>
      <x:c r="B46" t="str">
        <x:v>Open-source</x:v>
      </x:c>
      <x:c r="C46" t="str">
        <x:v>Self-hosted</x:v>
      </x:c>
      <x:c r="D46" t="str">
        <x:v>Z-Image Turbo</x:v>
      </x:c>
      <x:c r="E46" t="str">
        <x:v>d1116483-4819-4997-9ecb-9a42dc5fc96d</x:v>
      </x:c>
      <x:c r="F46" t="str">
        <x:v>PO-05</x:v>
      </x:c>
      <x:c r="G46" t="str">
        <x:v>products_objects</x:v>
      </x:c>
      <x:c r="H46" t="n">
        <x:v>512</x:v>
      </x:c>
      <x:c r="I46" t="n">
        <x:v>512</x:v>
      </x:c>
      <x:c r="J46" s="34" t="n">
        <x:v>14.154</x:v>
      </x:c>
      <x:c r="K46" s="36" t="n">
        <x:v>8053</x:v>
      </x:c>
      <x:c r="L46" s="38"/>
      <x:c r="M46" s="48" t="b">
        <x:v>1</x:v>
      </x:c>
      <x:c r="N46" t="str"/>
      <x:c r="O46" t="str">
        <x:v>benchmark/results/baseline/512/images/z-image-turbo-w4/PO-05.png</x:v>
      </x:c>
      <x:c r="P46" t="n">
        <x:v>46286.70465453704</x:v>
      </x:c>
    </x:row>
    <x:row r="47">
      <x:c r="A47" t="str">
        <x:v>results (2).csv</x:v>
      </x:c>
      <x:c r="B47" t="str">
        <x:v>Open-source</x:v>
      </x:c>
      <x:c r="C47" t="str">
        <x:v>Self-hosted</x:v>
      </x:c>
      <x:c r="D47" t="str">
        <x:v>Z-Image Turbo</x:v>
      </x:c>
      <x:c r="E47" t="str">
        <x:v>d1116483-4819-4997-9ecb-9a42dc5fc96d</x:v>
      </x:c>
      <x:c r="F47" t="str">
        <x:v>CC-01</x:v>
      </x:c>
      <x:c r="G47" t="str">
        <x:v>complex_compositions</x:v>
      </x:c>
      <x:c r="H47" t="n">
        <x:v>512</x:v>
      </x:c>
      <x:c r="I47" t="n">
        <x:v>512</x:v>
      </x:c>
      <x:c r="J47" s="34" t="n">
        <x:v>14.706</x:v>
      </x:c>
      <x:c r="K47" s="36" t="n">
        <x:v>8053</x:v>
      </x:c>
      <x:c r="L47" s="38"/>
      <x:c r="M47" s="48" t="b">
        <x:v>1</x:v>
      </x:c>
      <x:c r="N47" t="str"/>
      <x:c r="O47" t="str">
        <x:v>benchmark/results/baseline/512/images/z-image-turbo-w4/CC-01.png</x:v>
      </x:c>
      <x:c r="P47" t="n">
        <x:v>46286.70482637732</x:v>
      </x:c>
    </x:row>
    <x:row r="48">
      <x:c r="A48" t="str">
        <x:v>results (2).csv</x:v>
      </x:c>
      <x:c r="B48" t="str">
        <x:v>Open-source</x:v>
      </x:c>
      <x:c r="C48" t="str">
        <x:v>Self-hosted</x:v>
      </x:c>
      <x:c r="D48" t="str">
        <x:v>Z-Image Turbo</x:v>
      </x:c>
      <x:c r="E48" t="str">
        <x:v>d1116483-4819-4997-9ecb-9a42dc5fc96d</x:v>
      </x:c>
      <x:c r="F48" t="str">
        <x:v>CC-02</x:v>
      </x:c>
      <x:c r="G48" t="str">
        <x:v>complex_compositions</x:v>
      </x:c>
      <x:c r="H48" t="n">
        <x:v>512</x:v>
      </x:c>
      <x:c r="I48" t="n">
        <x:v>512</x:v>
      </x:c>
      <x:c r="J48" s="34" t="n">
        <x:v>14.795</x:v>
      </x:c>
      <x:c r="K48" s="36" t="n">
        <x:v>8053</x:v>
      </x:c>
      <x:c r="L48" s="38"/>
      <x:c r="M48" s="48" t="b">
        <x:v>1</x:v>
      </x:c>
      <x:c r="N48" t="str"/>
      <x:c r="O48" t="str">
        <x:v>benchmark/results/baseline/512/images/z-image-turbo-w4/CC-02.png</x:v>
      </x:c>
      <x:c r="P48" t="n">
        <x:v>46286.70499855324</x:v>
      </x:c>
    </x:row>
    <x:row r="49">
      <x:c r="A49" t="str">
        <x:v>results (2).csv</x:v>
      </x:c>
      <x:c r="B49" t="str">
        <x:v>Open-source</x:v>
      </x:c>
      <x:c r="C49" t="str">
        <x:v>Self-hosted</x:v>
      </x:c>
      <x:c r="D49" t="str">
        <x:v>Z-Image Turbo</x:v>
      </x:c>
      <x:c r="E49" t="str">
        <x:v>d1116483-4819-4997-9ecb-9a42dc5fc96d</x:v>
      </x:c>
      <x:c r="F49" t="str">
        <x:v>CC-03</x:v>
      </x:c>
      <x:c r="G49" t="str">
        <x:v>complex_compositions</x:v>
      </x:c>
      <x:c r="H49" t="n">
        <x:v>512</x:v>
      </x:c>
      <x:c r="I49" t="n">
        <x:v>512</x:v>
      </x:c>
      <x:c r="J49" s="34" t="n">
        <x:v>14.805</x:v>
      </x:c>
      <x:c r="K49" s="36" t="n">
        <x:v>8053</x:v>
      </x:c>
      <x:c r="L49" s="38"/>
      <x:c r="M49" s="48" t="b">
        <x:v>1</x:v>
      </x:c>
      <x:c r="N49" t="str"/>
      <x:c r="O49" t="str">
        <x:v>benchmark/results/baseline/512/images/z-image-turbo-w4/CC-03.png</x:v>
      </x:c>
      <x:c r="P49" t="n">
        <x:v>46286.70517120371</x:v>
      </x:c>
    </x:row>
    <x:row r="50">
      <x:c r="A50" t="str">
        <x:v>results (2).csv</x:v>
      </x:c>
      <x:c r="B50" t="str">
        <x:v>Open-source</x:v>
      </x:c>
      <x:c r="C50" t="str">
        <x:v>Self-hosted</x:v>
      </x:c>
      <x:c r="D50" t="str">
        <x:v>Z-Image Turbo</x:v>
      </x:c>
      <x:c r="E50" t="str">
        <x:v>d1116483-4819-4997-9ecb-9a42dc5fc96d</x:v>
      </x:c>
      <x:c r="F50" t="str">
        <x:v>CC-04</x:v>
      </x:c>
      <x:c r="G50" t="str">
        <x:v>complex_compositions</x:v>
      </x:c>
      <x:c r="H50" t="n">
        <x:v>512</x:v>
      </x:c>
      <x:c r="I50" t="n">
        <x:v>512</x:v>
      </x:c>
      <x:c r="J50" s="34" t="n">
        <x:v>14.804</x:v>
      </x:c>
      <x:c r="K50" s="36" t="n">
        <x:v>8053</x:v>
      </x:c>
      <x:c r="L50" s="38"/>
      <x:c r="M50" s="48" t="b">
        <x:v>1</x:v>
      </x:c>
      <x:c r="N50" t="str"/>
      <x:c r="O50" t="str">
        <x:v>benchmark/results/baseline/512/images/z-image-turbo-w4/CC-04.png</x:v>
      </x:c>
      <x:c r="P50" t="n">
        <x:v>46286.705343877315</x:v>
      </x:c>
    </x:row>
    <x:row r="51">
      <x:c r="A51" t="str">
        <x:v>results (2).csv</x:v>
      </x:c>
      <x:c r="B51" t="str">
        <x:v>Open-source</x:v>
      </x:c>
      <x:c r="C51" t="str">
        <x:v>Self-hosted</x:v>
      </x:c>
      <x:c r="D51" t="str">
        <x:v>Z-Image Turbo</x:v>
      </x:c>
      <x:c r="E51" t="str">
        <x:v>d1116483-4819-4997-9ecb-9a42dc5fc96d</x:v>
      </x:c>
      <x:c r="F51" t="str">
        <x:v>CC-05</x:v>
      </x:c>
      <x:c r="G51" t="str">
        <x:v>complex_compositions</x:v>
      </x:c>
      <x:c r="H51" t="n">
        <x:v>512</x:v>
      </x:c>
      <x:c r="I51" t="n">
        <x:v>512</x:v>
      </x:c>
      <x:c r="J51" s="34" t="n">
        <x:v>14.798</x:v>
      </x:c>
      <x:c r="K51" s="36" t="n">
        <x:v>8053</x:v>
      </x:c>
      <x:c r="L51" s="38"/>
      <x:c r="M51" s="48" t="b">
        <x:v>1</x:v>
      </x:c>
      <x:c r="N51" t="str"/>
      <x:c r="O51" t="str">
        <x:v>benchmark/results/baseline/512/images/z-image-turbo-w4/CC-05.png</x:v>
      </x:c>
      <x:c r="P51" t="n">
        <x:v>46286.70551662037</x:v>
      </x:c>
    </x:row>
    <x:row r="52">
      <x:c r="A52" t="str">
        <x:v>benchmark_results (3).csv</x:v>
      </x:c>
      <x:c r="B52" t="str">
        <x:v>Commercial</x:v>
      </x:c>
      <x:c r="C52" t="str">
        <x:v>OpenAI</x:v>
      </x:c>
      <x:c r="D52" t="str">
        <x:v>GPT Image 2</x:v>
      </x:c>
      <x:c r="E52" t="str">
        <x:v>4229ba19-b58e-40bd-bcfa-653a03d37ab7</x:v>
      </x:c>
      <x:c r="F52" t="str">
        <x:v>PL-01</x:v>
      </x:c>
      <x:c r="G52" t="str">
        <x:v>people_lifestyle</x:v>
      </x:c>
      <x:c r="H52" t="n">
        <x:v>1024</x:v>
      </x:c>
      <x:c r="I52" t="n">
        <x:v>1024</x:v>
      </x:c>
      <x:c r="J52" s="34" t="n">
        <x:v>48.328</x:v>
      </x:c>
      <x:c r="K52" s="36"/>
      <x:c r="L52" s="38" t="n">
        <x:v>0.05</x:v>
      </x:c>
      <x:c r="M52" s="48" t="b">
        <x:v>1</x:v>
      </x:c>
      <x:c r="N52" t="str"/>
      <x:c r="O52" t="str">
        <x:v>benchmark/results/images/openai/4229ba19_PL-01.png</x:v>
      </x:c>
      <x:c r="P52" t="n">
        <x:v>46280.718643229164</x:v>
      </x:c>
    </x:row>
    <x:row r="53">
      <x:c r="A53" t="str">
        <x:v>benchmark_results (3).csv</x:v>
      </x:c>
      <x:c r="B53" t="str">
        <x:v>Commercial</x:v>
      </x:c>
      <x:c r="C53" t="str">
        <x:v>Black Forest Labs</x:v>
      </x:c>
      <x:c r="D53" t="str">
        <x:v>FLUX 2 Pro</x:v>
      </x:c>
      <x:c r="E53" t="str">
        <x:v>4229ba19-b58e-40bd-bcfa-653a03d37ab7</x:v>
      </x:c>
      <x:c r="F53" t="str">
        <x:v>PL-01</x:v>
      </x:c>
      <x:c r="G53" t="str">
        <x:v>people_lifestyle</x:v>
      </x:c>
      <x:c r="H53" t="n">
        <x:v>1024</x:v>
      </x:c>
      <x:c r="I53" t="n">
        <x:v>1024</x:v>
      </x:c>
      <x:c r="J53" s="34" t="n">
        <x:v>14.687</x:v>
      </x:c>
      <x:c r="K53" s="36"/>
      <x:c r="L53" s="38" t="n">
        <x:v>0.031457</x:v>
      </x:c>
      <x:c r="M53" s="48" t="b">
        <x:v>1</x:v>
      </x:c>
      <x:c r="N53" t="str"/>
      <x:c r="O53" t="str">
        <x:v>benchmark/results/images/bfl/4229ba19_PL-01.png</x:v>
      </x:c>
      <x:c r="P53" t="n">
        <x:v>46280.718817106484</x:v>
      </x:c>
    </x:row>
    <x:row r="54">
      <x:c r="A54" t="str">
        <x:v>benchmark_results (3).csv</x:v>
      </x:c>
      <x:c r="B54" t="str">
        <x:v>Commercial</x:v>
      </x:c>
      <x:c r="C54" t="str">
        <x:v>OpenAI</x:v>
      </x:c>
      <x:c r="D54" t="str">
        <x:v>GPT Image 2</x:v>
      </x:c>
      <x:c r="E54" t="str">
        <x:v>4229ba19-b58e-40bd-bcfa-653a03d37ab7</x:v>
      </x:c>
      <x:c r="F54" t="str">
        <x:v>PL-02</x:v>
      </x:c>
      <x:c r="G54" t="str">
        <x:v>people_lifestyle</x:v>
      </x:c>
      <x:c r="H54" t="n">
        <x:v>1024</x:v>
      </x:c>
      <x:c r="I54" t="n">
        <x:v>1024</x:v>
      </x:c>
      <x:c r="J54" s="34" t="n">
        <x:v>53.54</x:v>
      </x:c>
      <x:c r="K54" s="36"/>
      <x:c r="L54" s="38" t="n">
        <x:v>0.05</x:v>
      </x:c>
      <x:c r="M54" s="48" t="b">
        <x:v>1</x:v>
      </x:c>
      <x:c r="N54" t="str"/>
      <x:c r="O54" t="str">
        <x:v>benchmark/results/images/openai/4229ba19_PL-02.png</x:v>
      </x:c>
      <x:c r="P54" t="n">
        <x:v>46280.719442835645</x:v>
      </x:c>
    </x:row>
    <x:row r="55">
      <x:c r="A55" t="str">
        <x:v>benchmark_results (3).csv</x:v>
      </x:c>
      <x:c r="B55" t="str">
        <x:v>Commercial</x:v>
      </x:c>
      <x:c r="C55" t="str">
        <x:v>Black Forest Labs</x:v>
      </x:c>
      <x:c r="D55" t="str">
        <x:v>FLUX 2 Pro</x:v>
      </x:c>
      <x:c r="E55" t="str">
        <x:v>4229ba19-b58e-40bd-bcfa-653a03d37ab7</x:v>
      </x:c>
      <x:c r="F55" t="str">
        <x:v>PL-02</x:v>
      </x:c>
      <x:c r="G55" t="str">
        <x:v>people_lifestyle</x:v>
      </x:c>
      <x:c r="H55" t="n">
        <x:v>1024</x:v>
      </x:c>
      <x:c r="I55" t="n">
        <x:v>1024</x:v>
      </x:c>
      <x:c r="J55" s="34" t="n">
        <x:v>14.959</x:v>
      </x:c>
      <x:c r="K55" s="36"/>
      <x:c r="L55" s="38" t="n">
        <x:v>0.031457</x:v>
      </x:c>
      <x:c r="M55" s="48" t="b">
        <x:v>1</x:v>
      </x:c>
      <x:c r="N55" t="str"/>
      <x:c r="O55" t="str">
        <x:v>benchmark/results/images/bfl/4229ba19_PL-02.png</x:v>
      </x:c>
      <x:c r="P55" t="n">
        <x:v>46280.71962609954</x:v>
      </x:c>
    </x:row>
    <x:row r="56">
      <x:c r="A56" t="str">
        <x:v>benchmark_results (3).csv</x:v>
      </x:c>
      <x:c r="B56" t="str">
        <x:v>Commercial</x:v>
      </x:c>
      <x:c r="C56" t="str">
        <x:v>OpenAI</x:v>
      </x:c>
      <x:c r="D56" t="str">
        <x:v>GPT Image 2</x:v>
      </x:c>
      <x:c r="E56" t="str">
        <x:v>4229ba19-b58e-40bd-bcfa-653a03d37ab7</x:v>
      </x:c>
      <x:c r="F56" t="str">
        <x:v>PL-03</x:v>
      </x:c>
      <x:c r="G56" t="str">
        <x:v>people_lifestyle</x:v>
      </x:c>
      <x:c r="H56" t="n">
        <x:v>1024</x:v>
      </x:c>
      <x:c r="I56" t="n">
        <x:v>1024</x:v>
      </x:c>
      <x:c r="J56" s="34" t="n">
        <x:v>45.422</x:v>
      </x:c>
      <x:c r="K56" s="36"/>
      <x:c r="L56" s="38" t="n">
        <x:v>0.05</x:v>
      </x:c>
      <x:c r="M56" s="48" t="b">
        <x:v>1</x:v>
      </x:c>
      <x:c r="N56" t="str"/>
      <x:c r="O56" t="str">
        <x:v>benchmark/results/images/openai/4229ba19_PL-03.png</x:v>
      </x:c>
      <x:c r="P56" t="n">
        <x:v>46280.720157222226</x:v>
      </x:c>
    </x:row>
    <x:row r="57">
      <x:c r="A57" t="str">
        <x:v>benchmark_results (3).csv</x:v>
      </x:c>
      <x:c r="B57" t="str">
        <x:v>Commercial</x:v>
      </x:c>
      <x:c r="C57" t="str">
        <x:v>Black Forest Labs</x:v>
      </x:c>
      <x:c r="D57" t="str">
        <x:v>FLUX 2 Pro</x:v>
      </x:c>
      <x:c r="E57" t="str">
        <x:v>4229ba19-b58e-40bd-bcfa-653a03d37ab7</x:v>
      </x:c>
      <x:c r="F57" t="str">
        <x:v>PL-03</x:v>
      </x:c>
      <x:c r="G57" t="str">
        <x:v>people_lifestyle</x:v>
      </x:c>
      <x:c r="H57" t="n">
        <x:v>1024</x:v>
      </x:c>
      <x:c r="I57" t="n">
        <x:v>1024</x:v>
      </x:c>
      <x:c r="J57" s="34" t="n">
        <x:v>11.842</x:v>
      </x:c>
      <x:c r="K57" s="36"/>
      <x:c r="L57" s="38" t="n">
        <x:v>0.031457</x:v>
      </x:c>
      <x:c r="M57" s="48" t="b">
        <x:v>1</x:v>
      </x:c>
      <x:c r="N57" t="str"/>
      <x:c r="O57" t="str">
        <x:v>benchmark/results/images/bfl/4229ba19_PL-03.png</x:v>
      </x:c>
      <x:c r="P57" t="n">
        <x:v>46280.720299444445</x:v>
      </x:c>
    </x:row>
    <x:row r="58">
      <x:c r="A58" t="str">
        <x:v>benchmark_results (3).csv</x:v>
      </x:c>
      <x:c r="B58" t="str">
        <x:v>Commercial</x:v>
      </x:c>
      <x:c r="C58" t="str">
        <x:v>OpenAI</x:v>
      </x:c>
      <x:c r="D58" t="str">
        <x:v>GPT Image 2</x:v>
      </x:c>
      <x:c r="E58" t="str">
        <x:v>4229ba19-b58e-40bd-bcfa-653a03d37ab7</x:v>
      </x:c>
      <x:c r="F58" t="str">
        <x:v>PL-04</x:v>
      </x:c>
      <x:c r="G58" t="str">
        <x:v>people_lifestyle</x:v>
      </x:c>
      <x:c r="H58" t="n">
        <x:v>1024</x:v>
      </x:c>
      <x:c r="I58" t="n">
        <x:v>1024</x:v>
      </x:c>
      <x:c r="J58" s="34" t="n">
        <x:v>45.741</x:v>
      </x:c>
      <x:c r="K58" s="36"/>
      <x:c r="L58" s="38" t="n">
        <x:v>0.05</x:v>
      </x:c>
      <x:c r="M58" s="48" t="b">
        <x:v>1</x:v>
      </x:c>
      <x:c r="N58" t="str"/>
      <x:c r="O58" t="str">
        <x:v>benchmark/results/images/openai/4229ba19_PL-04.png</x:v>
      </x:c>
      <x:c r="P58" t="n">
        <x:v>46280.7208346875</x:v>
      </x:c>
    </x:row>
    <x:row r="59">
      <x:c r="A59" t="str">
        <x:v>benchmark_results (3).csv</x:v>
      </x:c>
      <x:c r="B59" t="str">
        <x:v>Commercial</x:v>
      </x:c>
      <x:c r="C59" t="str">
        <x:v>Black Forest Labs</x:v>
      </x:c>
      <x:c r="D59" t="str">
        <x:v>FLUX 2 Pro</x:v>
      </x:c>
      <x:c r="E59" t="str">
        <x:v>4229ba19-b58e-40bd-bcfa-653a03d37ab7</x:v>
      </x:c>
      <x:c r="F59" t="str">
        <x:v>PL-04</x:v>
      </x:c>
      <x:c r="G59" t="str">
        <x:v>people_lifestyle</x:v>
      </x:c>
      <x:c r="H59" t="n">
        <x:v>1024</x:v>
      </x:c>
      <x:c r="I59" t="n">
        <x:v>1024</x:v>
      </x:c>
      <x:c r="J59" s="34" t="n">
        <x:v>17.519</x:v>
      </x:c>
      <x:c r="K59" s="36"/>
      <x:c r="L59" s="38" t="n">
        <x:v>0.031457</x:v>
      </x:c>
      <x:c r="M59" s="48" t="b">
        <x:v>1</x:v>
      </x:c>
      <x:c r="N59" t="str"/>
      <x:c r="O59" t="str">
        <x:v>benchmark/results/images/bfl/4229ba19_PL-04.png</x:v>
      </x:c>
      <x:c r="P59" t="n">
        <x:v>46280.721042094905</x:v>
      </x:c>
    </x:row>
    <x:row r="60">
      <x:c r="A60" t="str">
        <x:v>benchmark_results (3).csv</x:v>
      </x:c>
      <x:c r="B60" t="str">
        <x:v>Commercial</x:v>
      </x:c>
      <x:c r="C60" t="str">
        <x:v>OpenAI</x:v>
      </x:c>
      <x:c r="D60" t="str">
        <x:v>GPT Image 2</x:v>
      </x:c>
      <x:c r="E60" t="str">
        <x:v>4229ba19-b58e-40bd-bcfa-653a03d37ab7</x:v>
      </x:c>
      <x:c r="F60" t="str">
        <x:v>PL-05</x:v>
      </x:c>
      <x:c r="G60" t="str">
        <x:v>people_lifestyle</x:v>
      </x:c>
      <x:c r="H60" t="n">
        <x:v>1024</x:v>
      </x:c>
      <x:c r="I60" t="n">
        <x:v>1024</x:v>
      </x:c>
      <x:c r="J60" s="34" t="n">
        <x:v>48.036</x:v>
      </x:c>
      <x:c r="K60" s="36"/>
      <x:c r="L60" s="38" t="n">
        <x:v>0.05</x:v>
      </x:c>
      <x:c r="M60" s="48" t="b">
        <x:v>1</x:v>
      </x:c>
      <x:c r="N60" t="str"/>
      <x:c r="O60" t="str">
        <x:v>benchmark/results/images/openai/4229ba19_PL-05.png</x:v>
      </x:c>
      <x:c r="P60" t="n">
        <x:v>46280.72160440972</x:v>
      </x:c>
    </x:row>
    <x:row r="61">
      <x:c r="A61" t="str">
        <x:v>benchmark_results (3).csv</x:v>
      </x:c>
      <x:c r="B61" t="str">
        <x:v>Commercial</x:v>
      </x:c>
      <x:c r="C61" t="str">
        <x:v>Black Forest Labs</x:v>
      </x:c>
      <x:c r="D61" t="str">
        <x:v>FLUX 2 Pro</x:v>
      </x:c>
      <x:c r="E61" t="str">
        <x:v>4229ba19-b58e-40bd-bcfa-653a03d37ab7</x:v>
      </x:c>
      <x:c r="F61" t="str">
        <x:v>PL-05</x:v>
      </x:c>
      <x:c r="G61" t="str">
        <x:v>people_lifestyle</x:v>
      </x:c>
      <x:c r="H61" t="n">
        <x:v>1024</x:v>
      </x:c>
      <x:c r="I61" t="n">
        <x:v>1024</x:v>
      </x:c>
      <x:c r="J61" s="34" t="n">
        <x:v>16.741</x:v>
      </x:c>
      <x:c r="K61" s="36"/>
      <x:c r="L61" s="38" t="n">
        <x:v>0.031457</x:v>
      </x:c>
      <x:c r="M61" s="48" t="b">
        <x:v>1</x:v>
      </x:c>
      <x:c r="N61" t="str"/>
      <x:c r="O61" t="str">
        <x:v>benchmark/results/images/bfl/4229ba19_PL-05.png</x:v>
      </x:c>
      <x:c r="P61" t="n">
        <x:v>46280.721802002314</x:v>
      </x:c>
    </x:row>
    <x:row r="62">
      <x:c r="A62" t="str">
        <x:v>benchmark_results (3).csv</x:v>
      </x:c>
      <x:c r="B62" t="str">
        <x:v>Commercial</x:v>
      </x:c>
      <x:c r="C62" t="str">
        <x:v>OpenAI</x:v>
      </x:c>
      <x:c r="D62" t="str">
        <x:v>GPT Image 2</x:v>
      </x:c>
      <x:c r="E62" t="str">
        <x:v>4229ba19-b58e-40bd-bcfa-653a03d37ab7</x:v>
      </x:c>
      <x:c r="F62" t="str">
        <x:v>TT-01</x:v>
      </x:c>
      <x:c r="G62" t="str">
        <x:v>text_typography</x:v>
      </x:c>
      <x:c r="H62" t="n">
        <x:v>1024</x:v>
      </x:c>
      <x:c r="I62" t="n">
        <x:v>1024</x:v>
      </x:c>
      <x:c r="J62" s="34" t="n">
        <x:v>37.834</x:v>
      </x:c>
      <x:c r="K62" s="36"/>
      <x:c r="L62" s="38" t="n">
        <x:v>0.05</x:v>
      </x:c>
      <x:c r="M62" s="48" t="b">
        <x:v>1</x:v>
      </x:c>
      <x:c r="N62" t="str"/>
      <x:c r="O62" t="str">
        <x:v>benchmark/results/images/openai/4229ba19_TT-01.png</x:v>
      </x:c>
      <x:c r="P62" t="n">
        <x:v>46280.72224623842</x:v>
      </x:c>
    </x:row>
    <x:row r="63">
      <x:c r="A63" t="str">
        <x:v>benchmark_results (3).csv</x:v>
      </x:c>
      <x:c r="B63" t="str">
        <x:v>Commercial</x:v>
      </x:c>
      <x:c r="C63" t="str">
        <x:v>Black Forest Labs</x:v>
      </x:c>
      <x:c r="D63" t="str">
        <x:v>FLUX 2 Pro</x:v>
      </x:c>
      <x:c r="E63" t="str">
        <x:v>4229ba19-b58e-40bd-bcfa-653a03d37ab7</x:v>
      </x:c>
      <x:c r="F63" t="str">
        <x:v>TT-01</x:v>
      </x:c>
      <x:c r="G63" t="str">
        <x:v>text_typography</x:v>
      </x:c>
      <x:c r="H63" t="n">
        <x:v>1024</x:v>
      </x:c>
      <x:c r="I63" t="n">
        <x:v>1024</x:v>
      </x:c>
      <x:c r="J63" s="34" t="n">
        <x:v>17.094</x:v>
      </x:c>
      <x:c r="K63" s="36"/>
      <x:c r="L63" s="38" t="n">
        <x:v>0.031457</x:v>
      </x:c>
      <x:c r="M63" s="48" t="b">
        <x:v>1</x:v>
      </x:c>
      <x:c r="N63" t="str"/>
      <x:c r="O63" t="str">
        <x:v>benchmark/results/images/bfl/4229ba19_TT-01.png</x:v>
      </x:c>
      <x:c r="P63" t="n">
        <x:v>46280.72244574074</x:v>
      </x:c>
    </x:row>
    <x:row r="64">
      <x:c r="A64" t="str">
        <x:v>benchmark_results (3).csv</x:v>
      </x:c>
      <x:c r="B64" t="str">
        <x:v>Commercial</x:v>
      </x:c>
      <x:c r="C64" t="str">
        <x:v>OpenAI</x:v>
      </x:c>
      <x:c r="D64" t="str">
        <x:v>GPT Image 2</x:v>
      </x:c>
      <x:c r="E64" t="str">
        <x:v>4229ba19-b58e-40bd-bcfa-653a03d37ab7</x:v>
      </x:c>
      <x:c r="F64" t="str">
        <x:v>TT-02</x:v>
      </x:c>
      <x:c r="G64" t="str">
        <x:v>text_typography</x:v>
      </x:c>
      <x:c r="H64" t="n">
        <x:v>1024</x:v>
      </x:c>
      <x:c r="I64" t="n">
        <x:v>1024</x:v>
      </x:c>
      <x:c r="J64" s="34" t="n">
        <x:v>46.002</x:v>
      </x:c>
      <x:c r="K64" s="36"/>
      <x:c r="L64" s="38" t="n">
        <x:v>0.05</x:v>
      </x:c>
      <x:c r="M64" s="48" t="b">
        <x:v>1</x:v>
      </x:c>
      <x:c r="N64" t="str"/>
      <x:c r="O64" t="str">
        <x:v>benchmark/results/images/openai/4229ba19_TT-02.png</x:v>
      </x:c>
      <x:c r="P64" t="n">
        <x:v>46280.72298304398</x:v>
      </x:c>
    </x:row>
    <x:row r="65">
      <x:c r="A65" t="str">
        <x:v>benchmark_results (3).csv</x:v>
      </x:c>
      <x:c r="B65" t="str">
        <x:v>Commercial</x:v>
      </x:c>
      <x:c r="C65" t="str">
        <x:v>Black Forest Labs</x:v>
      </x:c>
      <x:c r="D65" t="str">
        <x:v>FLUX 2 Pro</x:v>
      </x:c>
      <x:c r="E65" t="str">
        <x:v>4229ba19-b58e-40bd-bcfa-653a03d37ab7</x:v>
      </x:c>
      <x:c r="F65" t="str">
        <x:v>TT-02</x:v>
      </x:c>
      <x:c r="G65" t="str">
        <x:v>text_typography</x:v>
      </x:c>
      <x:c r="H65" t="n">
        <x:v>1024</x:v>
      </x:c>
      <x:c r="I65" t="n">
        <x:v>1024</x:v>
      </x:c>
      <x:c r="J65" s="34" t="n">
        <x:v>16.859</x:v>
      </x:c>
      <x:c r="K65" s="36"/>
      <x:c r="L65" s="38" t="n">
        <x:v>0.031457</x:v>
      </x:c>
      <x:c r="M65" s="48" t="b">
        <x:v>1</x:v>
      </x:c>
      <x:c r="N65" t="str"/>
      <x:c r="O65" t="str">
        <x:v>benchmark/results/images/bfl/4229ba19_TT-02.png</x:v>
      </x:c>
      <x:c r="P65" t="n">
        <x:v>46280.723180266206</x:v>
      </x:c>
    </x:row>
    <x:row r="66">
      <x:c r="A66" t="str">
        <x:v>benchmark_results (3).csv</x:v>
      </x:c>
      <x:c r="B66" t="str">
        <x:v>Commercial</x:v>
      </x:c>
      <x:c r="C66" t="str">
        <x:v>OpenAI</x:v>
      </x:c>
      <x:c r="D66" t="str">
        <x:v>GPT Image 2</x:v>
      </x:c>
      <x:c r="E66" t="str">
        <x:v>4229ba19-b58e-40bd-bcfa-653a03d37ab7</x:v>
      </x:c>
      <x:c r="F66" t="str">
        <x:v>TT-03</x:v>
      </x:c>
      <x:c r="G66" t="str">
        <x:v>text_typography</x:v>
      </x:c>
      <x:c r="H66" t="n">
        <x:v>1024</x:v>
      </x:c>
      <x:c r="I66" t="n">
        <x:v>1024</x:v>
      </x:c>
      <x:c r="J66" s="34" t="n">
        <x:v>42.62</x:v>
      </x:c>
      <x:c r="K66" s="36"/>
      <x:c r="L66" s="38" t="n">
        <x:v>0.05</x:v>
      </x:c>
      <x:c r="M66" s="48" t="b">
        <x:v>1</x:v>
      </x:c>
      <x:c r="N66" t="str"/>
      <x:c r="O66" t="str">
        <x:v>benchmark/results/images/openai/4229ba19_TT-03.png</x:v>
      </x:c>
      <x:c r="P66" t="n">
        <x:v>46280.72367869213</x:v>
      </x:c>
    </x:row>
    <x:row r="67">
      <x:c r="A67" t="str">
        <x:v>benchmark_results (3).csv</x:v>
      </x:c>
      <x:c r="B67" t="str">
        <x:v>Commercial</x:v>
      </x:c>
      <x:c r="C67" t="str">
        <x:v>Black Forest Labs</x:v>
      </x:c>
      <x:c r="D67" t="str">
        <x:v>FLUX 2 Pro</x:v>
      </x:c>
      <x:c r="E67" t="str">
        <x:v>4229ba19-b58e-40bd-bcfa-653a03d37ab7</x:v>
      </x:c>
      <x:c r="F67" t="str">
        <x:v>TT-03</x:v>
      </x:c>
      <x:c r="G67" t="str">
        <x:v>text_typography</x:v>
      </x:c>
      <x:c r="H67" t="n">
        <x:v>1024</x:v>
      </x:c>
      <x:c r="I67" t="n">
        <x:v>1024</x:v>
      </x:c>
      <x:c r="J67" s="34" t="n">
        <x:v>14.402</x:v>
      </x:c>
      <x:c r="K67" s="36"/>
      <x:c r="L67" s="38" t="n">
        <x:v>0.031457</x:v>
      </x:c>
      <x:c r="M67" s="48" t="b">
        <x:v>1</x:v>
      </x:c>
      <x:c r="N67" t="str"/>
      <x:c r="O67" t="str">
        <x:v>benchmark/results/images/bfl/4229ba19_TT-03.png</x:v>
      </x:c>
      <x:c r="P67" t="n">
        <x:v>46280.72384684028</x:v>
      </x:c>
    </x:row>
    <x:row r="68">
      <x:c r="A68" t="str">
        <x:v>benchmark_results (3).csv</x:v>
      </x:c>
      <x:c r="B68" t="str">
        <x:v>Commercial</x:v>
      </x:c>
      <x:c r="C68" t="str">
        <x:v>OpenAI</x:v>
      </x:c>
      <x:c r="D68" t="str">
        <x:v>GPT Image 2</x:v>
      </x:c>
      <x:c r="E68" t="str">
        <x:v>4229ba19-b58e-40bd-bcfa-653a03d37ab7</x:v>
      </x:c>
      <x:c r="F68" t="str">
        <x:v>TT-04</x:v>
      </x:c>
      <x:c r="G68" t="str">
        <x:v>text_typography</x:v>
      </x:c>
      <x:c r="H68" t="n">
        <x:v>1024</x:v>
      </x:c>
      <x:c r="I68" t="n">
        <x:v>1024</x:v>
      </x:c>
      <x:c r="J68" s="34" t="n">
        <x:v>42.978</x:v>
      </x:c>
      <x:c r="K68" s="36"/>
      <x:c r="L68" s="38" t="n">
        <x:v>0.05</x:v>
      </x:c>
      <x:c r="M68" s="48" t="b">
        <x:v>1</x:v>
      </x:c>
      <x:c r="N68" t="str"/>
      <x:c r="O68" t="str">
        <x:v>benchmark/results/images/openai/4229ba19_TT-04.png</x:v>
      </x:c>
      <x:c r="P68" t="n">
        <x:v>46280.72434949074</x:v>
      </x:c>
    </x:row>
    <x:row r="69">
      <x:c r="A69" t="str">
        <x:v>benchmark_results (3).csv</x:v>
      </x:c>
      <x:c r="B69" t="str">
        <x:v>Commercial</x:v>
      </x:c>
      <x:c r="C69" t="str">
        <x:v>Black Forest Labs</x:v>
      </x:c>
      <x:c r="D69" t="str">
        <x:v>FLUX 2 Pro</x:v>
      </x:c>
      <x:c r="E69" t="str">
        <x:v>4229ba19-b58e-40bd-bcfa-653a03d37ab7</x:v>
      </x:c>
      <x:c r="F69" t="str">
        <x:v>TT-04</x:v>
      </x:c>
      <x:c r="G69" t="str">
        <x:v>text_typography</x:v>
      </x:c>
      <x:c r="H69" t="n">
        <x:v>1024</x:v>
      </x:c>
      <x:c r="I69" t="n">
        <x:v>1024</x:v>
      </x:c>
      <x:c r="J69" s="34" t="n">
        <x:v>14.076</x:v>
      </x:c>
      <x:c r="K69" s="36"/>
      <x:c r="L69" s="38" t="n">
        <x:v>0.031457</x:v>
      </x:c>
      <x:c r="M69" s="48" t="b">
        <x:v>1</x:v>
      </x:c>
      <x:c r="N69" t="str"/>
      <x:c r="O69" t="str">
        <x:v>benchmark/results/images/bfl/4229ba19_TT-04.png</x:v>
      </x:c>
      <x:c r="P69" t="n">
        <x:v>46280.72451369213</x:v>
      </x:c>
    </x:row>
    <x:row r="70">
      <x:c r="A70" t="str">
        <x:v>benchmark_results (3).csv</x:v>
      </x:c>
      <x:c r="B70" t="str">
        <x:v>Commercial</x:v>
      </x:c>
      <x:c r="C70" t="str">
        <x:v>OpenAI</x:v>
      </x:c>
      <x:c r="D70" t="str">
        <x:v>GPT Image 2</x:v>
      </x:c>
      <x:c r="E70" t="str">
        <x:v>4229ba19-b58e-40bd-bcfa-653a03d37ab7</x:v>
      </x:c>
      <x:c r="F70" t="str">
        <x:v>TT-05</x:v>
      </x:c>
      <x:c r="G70" t="str">
        <x:v>text_typography</x:v>
      </x:c>
      <x:c r="H70" t="n">
        <x:v>1024</x:v>
      </x:c>
      <x:c r="I70" t="n">
        <x:v>1024</x:v>
      </x:c>
      <x:c r="J70" s="34" t="n">
        <x:v>41.488</x:v>
      </x:c>
      <x:c r="K70" s="36"/>
      <x:c r="L70" s="38" t="n">
        <x:v>0.05</x:v>
      </x:c>
      <x:c r="M70" s="48" t="b">
        <x:v>1</x:v>
      </x:c>
      <x:c r="N70" t="str"/>
      <x:c r="O70" t="str">
        <x:v>benchmark/results/images/openai/4229ba19_TT-05.png</x:v>
      </x:c>
      <x:c r="P70" t="n">
        <x:v>46280.72499973379</x:v>
      </x:c>
    </x:row>
    <x:row r="71">
      <x:c r="A71" t="str">
        <x:v>benchmark_results (3).csv</x:v>
      </x:c>
      <x:c r="B71" t="str">
        <x:v>Commercial</x:v>
      </x:c>
      <x:c r="C71" t="str">
        <x:v>Black Forest Labs</x:v>
      </x:c>
      <x:c r="D71" t="str">
        <x:v>FLUX 2 Pro</x:v>
      </x:c>
      <x:c r="E71" t="str">
        <x:v>4229ba19-b58e-40bd-bcfa-653a03d37ab7</x:v>
      </x:c>
      <x:c r="F71" t="str">
        <x:v>TT-05</x:v>
      </x:c>
      <x:c r="G71" t="str">
        <x:v>text_typography</x:v>
      </x:c>
      <x:c r="H71" t="n">
        <x:v>1024</x:v>
      </x:c>
      <x:c r="I71" t="n">
        <x:v>1024</x:v>
      </x:c>
      <x:c r="J71" s="34" t="n">
        <x:v>16.542</x:v>
      </x:c>
      <x:c r="K71" s="36"/>
      <x:c r="L71" s="38" t="n">
        <x:v>0.031457</x:v>
      </x:c>
      <x:c r="M71" s="48" t="b">
        <x:v>1</x:v>
      </x:c>
      <x:c r="N71" t="str"/>
      <x:c r="O71" t="str">
        <x:v>benchmark/results/images/bfl/4229ba19_TT-05.png</x:v>
      </x:c>
      <x:c r="P71" t="n">
        <x:v>46280.725193541664</x:v>
      </x:c>
    </x:row>
    <x:row r="72">
      <x:c r="A72" t="str">
        <x:v>benchmark_results (3).csv</x:v>
      </x:c>
      <x:c r="B72" t="str">
        <x:v>Commercial</x:v>
      </x:c>
      <x:c r="C72" t="str">
        <x:v>OpenAI</x:v>
      </x:c>
      <x:c r="D72" t="str">
        <x:v>GPT Image 2</x:v>
      </x:c>
      <x:c r="E72" t="str">
        <x:v>4229ba19-b58e-40bd-bcfa-653a03d37ab7</x:v>
      </x:c>
      <x:c r="F72" t="str">
        <x:v>BA-01</x:v>
      </x:c>
      <x:c r="G72" t="str">
        <x:v>branding_advertising</x:v>
      </x:c>
      <x:c r="H72" t="n">
        <x:v>1024</x:v>
      </x:c>
      <x:c r="I72" t="n">
        <x:v>1024</x:v>
      </x:c>
      <x:c r="J72" s="34" t="n">
        <x:v>36.409</x:v>
      </x:c>
      <x:c r="K72" s="36"/>
      <x:c r="L72" s="38" t="n">
        <x:v>0.05</x:v>
      </x:c>
      <x:c r="M72" s="48" t="b">
        <x:v>1</x:v>
      </x:c>
      <x:c r="N72" t="str"/>
      <x:c r="O72" t="str">
        <x:v>benchmark/results/images/openai/4229ba19_BA-01.png</x:v>
      </x:c>
      <x:c r="P72" t="n">
        <x:v>46280.72562034722</x:v>
      </x:c>
    </x:row>
    <x:row r="73">
      <x:c r="A73" t="str">
        <x:v>benchmark_results (3).csv</x:v>
      </x:c>
      <x:c r="B73" t="str">
        <x:v>Commercial</x:v>
      </x:c>
      <x:c r="C73" t="str">
        <x:v>Black Forest Labs</x:v>
      </x:c>
      <x:c r="D73" t="str">
        <x:v>FLUX 2 Pro</x:v>
      </x:c>
      <x:c r="E73" t="str">
        <x:v>4229ba19-b58e-40bd-bcfa-653a03d37ab7</x:v>
      </x:c>
      <x:c r="F73" t="str">
        <x:v>BA-01</x:v>
      </x:c>
      <x:c r="G73" t="str">
        <x:v>branding_advertising</x:v>
      </x:c>
      <x:c r="H73" t="n">
        <x:v>1024</x:v>
      </x:c>
      <x:c r="I73" t="n">
        <x:v>1024</x:v>
      </x:c>
      <x:c r="J73" s="34" t="n">
        <x:v>11.777</x:v>
      </x:c>
      <x:c r="K73" s="36"/>
      <x:c r="L73" s="38" t="n">
        <x:v>0.031457</x:v>
      </x:c>
      <x:c r="M73" s="48" t="b">
        <x:v>1</x:v>
      </x:c>
      <x:c r="N73" t="str"/>
      <x:c r="O73" t="str">
        <x:v>benchmark/results/images/bfl/4229ba19_BA-01.png</x:v>
      </x:c>
      <x:c r="P73" t="n">
        <x:v>46280.72576190972</x:v>
      </x:c>
    </x:row>
    <x:row r="74">
      <x:c r="A74" t="str">
        <x:v>benchmark_results (3).csv</x:v>
      </x:c>
      <x:c r="B74" t="str">
        <x:v>Commercial</x:v>
      </x:c>
      <x:c r="C74" t="str">
        <x:v>OpenAI</x:v>
      </x:c>
      <x:c r="D74" t="str">
        <x:v>GPT Image 2</x:v>
      </x:c>
      <x:c r="E74" t="str">
        <x:v>4229ba19-b58e-40bd-bcfa-653a03d37ab7</x:v>
      </x:c>
      <x:c r="F74" t="str">
        <x:v>BA-02</x:v>
      </x:c>
      <x:c r="G74" t="str">
        <x:v>branding_advertising</x:v>
      </x:c>
      <x:c r="H74" t="n">
        <x:v>1024</x:v>
      </x:c>
      <x:c r="I74" t="n">
        <x:v>1024</x:v>
      </x:c>
      <x:c r="J74" s="34" t="n">
        <x:v>40.32</x:v>
      </x:c>
      <x:c r="K74" s="36"/>
      <x:c r="L74" s="38" t="n">
        <x:v>0.05</x:v>
      </x:c>
      <x:c r="M74" s="48" t="b">
        <x:v>1</x:v>
      </x:c>
      <x:c r="N74" t="str"/>
      <x:c r="O74" t="str">
        <x:v>benchmark/results/images/openai/4229ba19_BA-02.png</x:v>
      </x:c>
      <x:c r="P74" t="n">
        <x:v>46280.72623403935</x:v>
      </x:c>
    </x:row>
    <x:row r="75">
      <x:c r="A75" t="str">
        <x:v>benchmark_results (3).csv</x:v>
      </x:c>
      <x:c r="B75" t="str">
        <x:v>Commercial</x:v>
      </x:c>
      <x:c r="C75" t="str">
        <x:v>Black Forest Labs</x:v>
      </x:c>
      <x:c r="D75" t="str">
        <x:v>FLUX 2 Pro</x:v>
      </x:c>
      <x:c r="E75" t="str">
        <x:v>4229ba19-b58e-40bd-bcfa-653a03d37ab7</x:v>
      </x:c>
      <x:c r="F75" t="str">
        <x:v>BA-02</x:v>
      </x:c>
      <x:c r="G75" t="str">
        <x:v>branding_advertising</x:v>
      </x:c>
      <x:c r="H75" t="n">
        <x:v>1024</x:v>
      </x:c>
      <x:c r="I75" t="n">
        <x:v>1024</x:v>
      </x:c>
      <x:c r="J75" s="34" t="n">
        <x:v>14.094</x:v>
      </x:c>
      <x:c r="K75" s="36"/>
      <x:c r="L75" s="38" t="n">
        <x:v>0.031457</x:v>
      </x:c>
      <x:c r="M75" s="48" t="b">
        <x:v>1</x:v>
      </x:c>
      <x:c r="N75" t="str"/>
      <x:c r="O75" t="str">
        <x:v>benchmark/results/images/bfl/4229ba19_BA-02.png</x:v>
      </x:c>
      <x:c r="P75" t="n">
        <x:v>46280.72639921297</x:v>
      </x:c>
    </x:row>
    <x:row r="76">
      <x:c r="A76" t="str">
        <x:v>benchmark_results (3).csv</x:v>
      </x:c>
      <x:c r="B76" t="str">
        <x:v>Commercial</x:v>
      </x:c>
      <x:c r="C76" t="str">
        <x:v>OpenAI</x:v>
      </x:c>
      <x:c r="D76" t="str">
        <x:v>GPT Image 2</x:v>
      </x:c>
      <x:c r="E76" t="str">
        <x:v>4229ba19-b58e-40bd-bcfa-653a03d37ab7</x:v>
      </x:c>
      <x:c r="F76" t="str">
        <x:v>BA-03</x:v>
      </x:c>
      <x:c r="G76" t="str">
        <x:v>branding_advertising</x:v>
      </x:c>
      <x:c r="H76" t="n">
        <x:v>1024</x:v>
      </x:c>
      <x:c r="I76" t="n">
        <x:v>1024</x:v>
      </x:c>
      <x:c r="J76" s="34" t="n">
        <x:v>47.62</x:v>
      </x:c>
      <x:c r="K76" s="36"/>
      <x:c r="L76" s="38" t="n">
        <x:v>0.05</x:v>
      </x:c>
      <x:c r="M76" s="48" t="b">
        <x:v>1</x:v>
      </x:c>
      <x:c r="N76" t="str"/>
      <x:c r="O76" t="str">
        <x:v>benchmark/results/images/openai/4229ba19_BA-03.png</x:v>
      </x:c>
      <x:c r="P76" t="n">
        <x:v>46280.72695599537</x:v>
      </x:c>
    </x:row>
    <x:row r="77">
      <x:c r="A77" t="str">
        <x:v>benchmark_results (3).csv</x:v>
      </x:c>
      <x:c r="B77" t="str">
        <x:v>Commercial</x:v>
      </x:c>
      <x:c r="C77" t="str">
        <x:v>Black Forest Labs</x:v>
      </x:c>
      <x:c r="D77" t="str">
        <x:v>FLUX 2 Pro</x:v>
      </x:c>
      <x:c r="E77" t="str">
        <x:v>4229ba19-b58e-40bd-bcfa-653a03d37ab7</x:v>
      </x:c>
      <x:c r="F77" t="str">
        <x:v>BA-03</x:v>
      </x:c>
      <x:c r="G77" t="str">
        <x:v>branding_advertising</x:v>
      </x:c>
      <x:c r="H77" t="n">
        <x:v>1024</x:v>
      </x:c>
      <x:c r="I77" t="n">
        <x:v>1024</x:v>
      </x:c>
      <x:c r="J77" s="34" t="n">
        <x:v>14.052</x:v>
      </x:c>
      <x:c r="K77" s="36"/>
      <x:c r="L77" s="38" t="n">
        <x:v>0.031457</x:v>
      </x:c>
      <x:c r="M77" s="48" t="b">
        <x:v>1</x:v>
      </x:c>
      <x:c r="N77" t="str"/>
      <x:c r="O77" t="str">
        <x:v>benchmark/results/images/bfl/4229ba19_BA-03.png</x:v>
      </x:c>
      <x:c r="P77" t="n">
        <x:v>46280.727121145836</x:v>
      </x:c>
    </x:row>
    <x:row r="78">
      <x:c r="A78" t="str">
        <x:v>benchmark_results (3).csv</x:v>
      </x:c>
      <x:c r="B78" t="str">
        <x:v>Commercial</x:v>
      </x:c>
      <x:c r="C78" t="str">
        <x:v>OpenAI</x:v>
      </x:c>
      <x:c r="D78" t="str">
        <x:v>GPT Image 2</x:v>
      </x:c>
      <x:c r="E78" t="str">
        <x:v>4229ba19-b58e-40bd-bcfa-653a03d37ab7</x:v>
      </x:c>
      <x:c r="F78" t="str">
        <x:v>BA-04</x:v>
      </x:c>
      <x:c r="G78" t="str">
        <x:v>branding_advertising</x:v>
      </x:c>
      <x:c r="H78" t="n">
        <x:v>1024</x:v>
      </x:c>
      <x:c r="I78" t="n">
        <x:v>1024</x:v>
      </x:c>
      <x:c r="J78" s="34" t="n">
        <x:v>44.996</x:v>
      </x:c>
      <x:c r="K78" s="36"/>
      <x:c r="L78" s="38" t="n">
        <x:v>0.05</x:v>
      </x:c>
      <x:c r="M78" s="48" t="b">
        <x:v>1</x:v>
      </x:c>
      <x:c r="N78" t="str"/>
      <x:c r="O78" t="str">
        <x:v>benchmark/results/images/openai/4229ba19_BA-04.png</x:v>
      </x:c>
      <x:c r="P78" t="n">
        <x:v>46280.72764734954</x:v>
      </x:c>
    </x:row>
    <x:row r="79">
      <x:c r="A79" t="str">
        <x:v>benchmark_results (3).csv</x:v>
      </x:c>
      <x:c r="B79" t="str">
        <x:v>Commercial</x:v>
      </x:c>
      <x:c r="C79" t="str">
        <x:v>Black Forest Labs</x:v>
      </x:c>
      <x:c r="D79" t="str">
        <x:v>FLUX 2 Pro</x:v>
      </x:c>
      <x:c r="E79" t="str">
        <x:v>4229ba19-b58e-40bd-bcfa-653a03d37ab7</x:v>
      </x:c>
      <x:c r="F79" t="str">
        <x:v>BA-04</x:v>
      </x:c>
      <x:c r="G79" t="str">
        <x:v>branding_advertising</x:v>
      </x:c>
      <x:c r="H79" t="n">
        <x:v>1024</x:v>
      </x:c>
      <x:c r="I79" t="n">
        <x:v>1024</x:v>
      </x:c>
      <x:c r="J79" s="34" t="n">
        <x:v>16.724</x:v>
      </x:c>
      <x:c r="K79" s="36"/>
      <x:c r="L79" s="38" t="n">
        <x:v>0.031457</x:v>
      </x:c>
      <x:c r="M79" s="48" t="b">
        <x:v>1</x:v>
      </x:c>
      <x:c r="N79" t="str"/>
      <x:c r="O79" t="str">
        <x:v>benchmark/results/images/bfl/4229ba19_BA-04.png</x:v>
      </x:c>
      <x:c r="P79" t="n">
        <x:v>46280.72784320602</x:v>
      </x:c>
    </x:row>
    <x:row r="80">
      <x:c r="A80" t="str">
        <x:v>benchmark_results (3).csv</x:v>
      </x:c>
      <x:c r="B80" t="str">
        <x:v>Commercial</x:v>
      </x:c>
      <x:c r="C80" t="str">
        <x:v>OpenAI</x:v>
      </x:c>
      <x:c r="D80" t="str">
        <x:v>GPT Image 2</x:v>
      </x:c>
      <x:c r="E80" t="str">
        <x:v>4229ba19-b58e-40bd-bcfa-653a03d37ab7</x:v>
      </x:c>
      <x:c r="F80" t="str">
        <x:v>BA-05</x:v>
      </x:c>
      <x:c r="G80" t="str">
        <x:v>branding_advertising</x:v>
      </x:c>
      <x:c r="H80" t="n">
        <x:v>1024</x:v>
      </x:c>
      <x:c r="I80" t="n">
        <x:v>1024</x:v>
      </x:c>
      <x:c r="J80" s="34" t="n">
        <x:v>46.14</x:v>
      </x:c>
      <x:c r="K80" s="36"/>
      <x:c r="L80" s="38" t="n">
        <x:v>0.05</x:v>
      </x:c>
      <x:c r="M80" s="48" t="b">
        <x:v>1</x:v>
      </x:c>
      <x:c r="N80" t="str"/>
      <x:c r="O80" t="str">
        <x:v>benchmark/results/images/openai/4229ba19_BA-05.png</x:v>
      </x:c>
      <x:c r="P80" t="n">
        <x:v>46280.72838140046</x:v>
      </x:c>
    </x:row>
    <x:row r="81">
      <x:c r="A81" t="str">
        <x:v>benchmark_results (3).csv</x:v>
      </x:c>
      <x:c r="B81" t="str">
        <x:v>Commercial</x:v>
      </x:c>
      <x:c r="C81" t="str">
        <x:v>Black Forest Labs</x:v>
      </x:c>
      <x:c r="D81" t="str">
        <x:v>FLUX 2 Pro</x:v>
      </x:c>
      <x:c r="E81" t="str">
        <x:v>4229ba19-b58e-40bd-bcfa-653a03d37ab7</x:v>
      </x:c>
      <x:c r="F81" t="str">
        <x:v>BA-05</x:v>
      </x:c>
      <x:c r="G81" t="str">
        <x:v>branding_advertising</x:v>
      </x:c>
      <x:c r="H81" t="n">
        <x:v>1024</x:v>
      </x:c>
      <x:c r="I81" t="n">
        <x:v>1024</x:v>
      </x:c>
      <x:c r="J81" s="34" t="n">
        <x:v>14.381</x:v>
      </x:c>
      <x:c r="K81" s="36"/>
      <x:c r="L81" s="38" t="n">
        <x:v>0.031457</x:v>
      </x:c>
      <x:c r="M81" s="48" t="b">
        <x:v>1</x:v>
      </x:c>
      <x:c r="N81" t="str"/>
      <x:c r="O81" t="str">
        <x:v>benchmark/results/images/bfl/4229ba19_BA-05.png</x:v>
      </x:c>
      <x:c r="P81" t="n">
        <x:v>46280.72855059028</x:v>
      </x:c>
    </x:row>
    <x:row r="82">
      <x:c r="A82" t="str">
        <x:v>benchmark_results (3).csv</x:v>
      </x:c>
      <x:c r="B82" t="str">
        <x:v>Commercial</x:v>
      </x:c>
      <x:c r="C82" t="str">
        <x:v>OpenAI</x:v>
      </x:c>
      <x:c r="D82" t="str">
        <x:v>GPT Image 2</x:v>
      </x:c>
      <x:c r="E82" t="str">
        <x:v>4229ba19-b58e-40bd-bcfa-653a03d37ab7</x:v>
      </x:c>
      <x:c r="F82" t="str">
        <x:v>PO-01</x:v>
      </x:c>
      <x:c r="G82" t="str">
        <x:v>products_objects</x:v>
      </x:c>
      <x:c r="H82" t="n">
        <x:v>1024</x:v>
      </x:c>
      <x:c r="I82" t="n">
        <x:v>1024</x:v>
      </x:c>
      <x:c r="J82" s="34" t="n">
        <x:v>34.828</x:v>
      </x:c>
      <x:c r="K82" s="36"/>
      <x:c r="L82" s="38" t="n">
        <x:v>0.05</x:v>
      </x:c>
      <x:c r="M82" s="48" t="b">
        <x:v>1</x:v>
      </x:c>
      <x:c r="N82" t="str"/>
      <x:c r="O82" t="str">
        <x:v>benchmark/results/images/openai/4229ba19_PO-01.png</x:v>
      </x:c>
      <x:c r="P82" t="n">
        <x:v>46280.72895900463</x:v>
      </x:c>
    </x:row>
    <x:row r="83">
      <x:c r="A83" t="str">
        <x:v>benchmark_results (3).csv</x:v>
      </x:c>
      <x:c r="B83" t="str">
        <x:v>Commercial</x:v>
      </x:c>
      <x:c r="C83" t="str">
        <x:v>Black Forest Labs</x:v>
      </x:c>
      <x:c r="D83" t="str">
        <x:v>FLUX 2 Pro</x:v>
      </x:c>
      <x:c r="E83" t="str">
        <x:v>4229ba19-b58e-40bd-bcfa-653a03d37ab7</x:v>
      </x:c>
      <x:c r="F83" t="str">
        <x:v>PO-01</x:v>
      </x:c>
      <x:c r="G83" t="str">
        <x:v>products_objects</x:v>
      </x:c>
      <x:c r="H83" t="n">
        <x:v>1024</x:v>
      </x:c>
      <x:c r="I83" t="n">
        <x:v>1024</x:v>
      </x:c>
      <x:c r="J83" s="34" t="n">
        <x:v>14.147</x:v>
      </x:c>
      <x:c r="K83" s="36"/>
      <x:c r="L83" s="38" t="n">
        <x:v>0.031457</x:v>
      </x:c>
      <x:c r="M83" s="48" t="b">
        <x:v>1</x:v>
      </x:c>
      <x:c r="N83" t="str"/>
      <x:c r="O83" t="str">
        <x:v>benchmark/results/images/bfl/4229ba19_PO-01.png</x:v>
      </x:c>
      <x:c r="P83" t="n">
        <x:v>46280.72912528935</x:v>
      </x:c>
    </x:row>
    <x:row r="84">
      <x:c r="A84" t="str">
        <x:v>benchmark_results (3).csv</x:v>
      </x:c>
      <x:c r="B84" t="str">
        <x:v>Commercial</x:v>
      </x:c>
      <x:c r="C84" t="str">
        <x:v>OpenAI</x:v>
      </x:c>
      <x:c r="D84" t="str">
        <x:v>GPT Image 2</x:v>
      </x:c>
      <x:c r="E84" t="str">
        <x:v>4229ba19-b58e-40bd-bcfa-653a03d37ab7</x:v>
      </x:c>
      <x:c r="F84" t="str">
        <x:v>PO-02</x:v>
      </x:c>
      <x:c r="G84" t="str">
        <x:v>products_objects</x:v>
      </x:c>
      <x:c r="H84" t="n">
        <x:v>1024</x:v>
      </x:c>
      <x:c r="I84" t="n">
        <x:v>1024</x:v>
      </x:c>
      <x:c r="J84" s="34" t="n">
        <x:v>45.684</x:v>
      </x:c>
      <x:c r="K84" s="36"/>
      <x:c r="L84" s="38" t="n">
        <x:v>0.05</x:v>
      </x:c>
      <x:c r="M84" s="48" t="b">
        <x:v>1</x:v>
      </x:c>
      <x:c r="N84" t="str"/>
      <x:c r="O84" t="str">
        <x:v>benchmark/results/images/openai/4229ba19_PO-02.png</x:v>
      </x:c>
      <x:c r="P84" t="n">
        <x:v>46280.72966081018</x:v>
      </x:c>
    </x:row>
    <x:row r="85">
      <x:c r="A85" t="str">
        <x:v>benchmark_results (3).csv</x:v>
      </x:c>
      <x:c r="B85" t="str">
        <x:v>Commercial</x:v>
      </x:c>
      <x:c r="C85" t="str">
        <x:v>Black Forest Labs</x:v>
      </x:c>
      <x:c r="D85" t="str">
        <x:v>FLUX 2 Pro</x:v>
      </x:c>
      <x:c r="E85" t="str">
        <x:v>4229ba19-b58e-40bd-bcfa-653a03d37ab7</x:v>
      </x:c>
      <x:c r="F85" t="str">
        <x:v>PO-02</x:v>
      </x:c>
      <x:c r="G85" t="str">
        <x:v>products_objects</x:v>
      </x:c>
      <x:c r="H85" t="n">
        <x:v>1024</x:v>
      </x:c>
      <x:c r="I85" t="n">
        <x:v>1024</x:v>
      </x:c>
      <x:c r="J85" s="34" t="n">
        <x:v>14.263</x:v>
      </x:c>
      <x:c r="K85" s="36"/>
      <x:c r="L85" s="38" t="n">
        <x:v>0.031457</x:v>
      </x:c>
      <x:c r="M85" s="48" t="b">
        <x:v>1</x:v>
      </x:c>
      <x:c r="N85" t="str"/>
      <x:c r="O85" t="str">
        <x:v>benchmark/results/images/bfl/4229ba19_PO-02.png</x:v>
      </x:c>
      <x:c r="P85" t="n">
        <x:v>46280.729828414354</x:v>
      </x:c>
    </x:row>
    <x:row r="86">
      <x:c r="A86" t="str">
        <x:v>benchmark_results (3).csv</x:v>
      </x:c>
      <x:c r="B86" t="str">
        <x:v>Commercial</x:v>
      </x:c>
      <x:c r="C86" t="str">
        <x:v>OpenAI</x:v>
      </x:c>
      <x:c r="D86" t="str">
        <x:v>GPT Image 2</x:v>
      </x:c>
      <x:c r="E86" t="str">
        <x:v>4229ba19-b58e-40bd-bcfa-653a03d37ab7</x:v>
      </x:c>
      <x:c r="F86" t="str">
        <x:v>PO-03</x:v>
      </x:c>
      <x:c r="G86" t="str">
        <x:v>products_objects</x:v>
      </x:c>
      <x:c r="H86" t="n">
        <x:v>1024</x:v>
      </x:c>
      <x:c r="I86" t="n">
        <x:v>1024</x:v>
      </x:c>
      <x:c r="J86" s="34" t="n">
        <x:v>42.824</x:v>
      </x:c>
      <x:c r="K86" s="36"/>
      <x:c r="L86" s="38" t="n">
        <x:v>0.05</x:v>
      </x:c>
      <x:c r="M86" s="48" t="b">
        <x:v>1</x:v>
      </x:c>
      <x:c r="N86" t="str"/>
      <x:c r="O86" t="str">
        <x:v>benchmark/results/images/openai/4229ba19_PO-03.png</x:v>
      </x:c>
      <x:c r="P86" t="n">
        <x:v>46280.730329907405</x:v>
      </x:c>
    </x:row>
    <x:row r="87">
      <x:c r="A87" t="str">
        <x:v>benchmark_results (3).csv</x:v>
      </x:c>
      <x:c r="B87" t="str">
        <x:v>Commercial</x:v>
      </x:c>
      <x:c r="C87" t="str">
        <x:v>Black Forest Labs</x:v>
      </x:c>
      <x:c r="D87" t="str">
        <x:v>FLUX 2 Pro</x:v>
      </x:c>
      <x:c r="E87" t="str">
        <x:v>4229ba19-b58e-40bd-bcfa-653a03d37ab7</x:v>
      </x:c>
      <x:c r="F87" t="str">
        <x:v>PO-03</x:v>
      </x:c>
      <x:c r="G87" t="str">
        <x:v>products_objects</x:v>
      </x:c>
      <x:c r="H87" t="n">
        <x:v>1024</x:v>
      </x:c>
      <x:c r="I87" t="n">
        <x:v>1024</x:v>
      </x:c>
      <x:c r="J87" s="34" t="n">
        <x:v>13.65</x:v>
      </x:c>
      <x:c r="K87" s="36"/>
      <x:c r="L87" s="38" t="n">
        <x:v>0.031457</x:v>
      </x:c>
      <x:c r="M87" s="48" t="b">
        <x:v>1</x:v>
      </x:c>
      <x:c r="N87" t="str"/>
      <x:c r="O87" t="str">
        <x:v>benchmark/results/images/bfl/4229ba19_PO-03.png</x:v>
      </x:c>
      <x:c r="P87" t="n">
        <x:v>46280.73049081019</x:v>
      </x:c>
    </x:row>
    <x:row r="88">
      <x:c r="A88" t="str">
        <x:v>benchmark_results (3).csv</x:v>
      </x:c>
      <x:c r="B88" t="str">
        <x:v>Commercial</x:v>
      </x:c>
      <x:c r="C88" t="str">
        <x:v>OpenAI</x:v>
      </x:c>
      <x:c r="D88" t="str">
        <x:v>GPT Image 2</x:v>
      </x:c>
      <x:c r="E88" t="str">
        <x:v>4229ba19-b58e-40bd-bcfa-653a03d37ab7</x:v>
      </x:c>
      <x:c r="F88" t="str">
        <x:v>PO-04</x:v>
      </x:c>
      <x:c r="G88" t="str">
        <x:v>products_objects</x:v>
      </x:c>
      <x:c r="H88" t="n">
        <x:v>1024</x:v>
      </x:c>
      <x:c r="I88" t="n">
        <x:v>1024</x:v>
      </x:c>
      <x:c r="J88" s="34" t="n">
        <x:v>40.397</x:v>
      </x:c>
      <x:c r="K88" s="36"/>
      <x:c r="L88" s="38" t="n">
        <x:v>0.05</x:v>
      </x:c>
      <x:c r="M88" s="48" t="b">
        <x:v>1</x:v>
      </x:c>
      <x:c r="N88" t="str"/>
      <x:c r="O88" t="str">
        <x:v>benchmark/results/images/openai/4229ba19_PO-04.png</x:v>
      </x:c>
      <x:c r="P88" t="n">
        <x:v>46280.73096490741</x:v>
      </x:c>
    </x:row>
    <x:row r="89">
      <x:c r="A89" t="str">
        <x:v>benchmark_results (3).csv</x:v>
      </x:c>
      <x:c r="B89" t="str">
        <x:v>Commercial</x:v>
      </x:c>
      <x:c r="C89" t="str">
        <x:v>Black Forest Labs</x:v>
      </x:c>
      <x:c r="D89" t="str">
        <x:v>FLUX 2 Pro</x:v>
      </x:c>
      <x:c r="E89" t="str">
        <x:v>4229ba19-b58e-40bd-bcfa-653a03d37ab7</x:v>
      </x:c>
      <x:c r="F89" t="str">
        <x:v>PO-04</x:v>
      </x:c>
      <x:c r="G89" t="str">
        <x:v>products_objects</x:v>
      </x:c>
      <x:c r="H89" t="n">
        <x:v>1024</x:v>
      </x:c>
      <x:c r="I89" t="n">
        <x:v>1024</x:v>
      </x:c>
      <x:c r="J89" s="34" t="n">
        <x:v>14.261</x:v>
      </x:c>
      <x:c r="K89" s="36"/>
      <x:c r="L89" s="38" t="n">
        <x:v>0.031457</x:v>
      </x:c>
      <x:c r="M89" s="48" t="b">
        <x:v>1</x:v>
      </x:c>
      <x:c r="N89" t="str"/>
      <x:c r="O89" t="str">
        <x:v>benchmark/results/images/bfl/4229ba19_PO-04.png</x:v>
      </x:c>
      <x:c r="P89" t="n">
        <x:v>46280.731132569446</x:v>
      </x:c>
    </x:row>
    <x:row r="90">
      <x:c r="A90" t="str">
        <x:v>benchmark_results (3).csv</x:v>
      </x:c>
      <x:c r="B90" t="str">
        <x:v>Commercial</x:v>
      </x:c>
      <x:c r="C90" t="str">
        <x:v>OpenAI</x:v>
      </x:c>
      <x:c r="D90" t="str">
        <x:v>GPT Image 2</x:v>
      </x:c>
      <x:c r="E90" t="str">
        <x:v>4229ba19-b58e-40bd-bcfa-653a03d37ab7</x:v>
      </x:c>
      <x:c r="F90" t="str">
        <x:v>PO-05</x:v>
      </x:c>
      <x:c r="G90" t="str">
        <x:v>products_objects</x:v>
      </x:c>
      <x:c r="H90" t="n">
        <x:v>1024</x:v>
      </x:c>
      <x:c r="I90" t="n">
        <x:v>1024</x:v>
      </x:c>
      <x:c r="J90" s="34" t="n">
        <x:v>38.345</x:v>
      </x:c>
      <x:c r="K90" s="36"/>
      <x:c r="L90" s="38" t="n">
        <x:v>0.05</x:v>
      </x:c>
      <x:c r="M90" s="48" t="b">
        <x:v>1</x:v>
      </x:c>
      <x:c r="N90" t="str"/>
      <x:c r="O90" t="str">
        <x:v>benchmark/results/images/openai/4229ba19_PO-05.png</x:v>
      </x:c>
      <x:c r="P90" t="n">
        <x:v>46280.7315818287</x:v>
      </x:c>
    </x:row>
    <x:row r="91">
      <x:c r="A91" t="str">
        <x:v>benchmark_results (3).csv</x:v>
      </x:c>
      <x:c r="B91" t="str">
        <x:v>Commercial</x:v>
      </x:c>
      <x:c r="C91" t="str">
        <x:v>Black Forest Labs</x:v>
      </x:c>
      <x:c r="D91" t="str">
        <x:v>FLUX 2 Pro</x:v>
      </x:c>
      <x:c r="E91" t="str">
        <x:v>4229ba19-b58e-40bd-bcfa-653a03d37ab7</x:v>
      </x:c>
      <x:c r="F91" t="str">
        <x:v>PO-05</x:v>
      </x:c>
      <x:c r="G91" t="str">
        <x:v>products_objects</x:v>
      </x:c>
      <x:c r="H91" t="n">
        <x:v>1024</x:v>
      </x:c>
      <x:c r="I91" t="n">
        <x:v>1024</x:v>
      </x:c>
      <x:c r="J91" s="34" t="n">
        <x:v>10.798</x:v>
      </x:c>
      <x:c r="K91" s="36"/>
      <x:c r="L91" s="38" t="n">
        <x:v>0.031457</x:v>
      </x:c>
      <x:c r="M91" s="48" t="b">
        <x:v>1</x:v>
      </x:c>
      <x:c r="N91" t="str"/>
      <x:c r="O91" t="str">
        <x:v>benchmark/results/images/bfl/4229ba19_PO-05.png</x:v>
      </x:c>
      <x:c r="P91" t="n">
        <x:v>46280.73170965278</x:v>
      </x:c>
    </x:row>
    <x:row r="92">
      <x:c r="A92" t="str">
        <x:v>benchmark_results (3).csv</x:v>
      </x:c>
      <x:c r="B92" t="str">
        <x:v>Commercial</x:v>
      </x:c>
      <x:c r="C92" t="str">
        <x:v>OpenAI</x:v>
      </x:c>
      <x:c r="D92" t="str">
        <x:v>GPT Image 2</x:v>
      </x:c>
      <x:c r="E92" t="str">
        <x:v>4229ba19-b58e-40bd-bcfa-653a03d37ab7</x:v>
      </x:c>
      <x:c r="F92" t="str">
        <x:v>CC-01</x:v>
      </x:c>
      <x:c r="G92" t="str">
        <x:v>complex_compositions</x:v>
      </x:c>
      <x:c r="H92" t="n">
        <x:v>1024</x:v>
      </x:c>
      <x:c r="I92" t="n">
        <x:v>1024</x:v>
      </x:c>
      <x:c r="J92" s="34" t="n">
        <x:v>51.044</x:v>
      </x:c>
      <x:c r="K92" s="36"/>
      <x:c r="L92" s="38" t="n">
        <x:v>0.05</x:v>
      </x:c>
      <x:c r="M92" s="48" t="b">
        <x:v>1</x:v>
      </x:c>
      <x:c r="N92" t="str"/>
      <x:c r="O92" t="str">
        <x:v>benchmark/results/images/openai/4229ba19_CC-01.png</x:v>
      </x:c>
      <x:c r="P92" t="n">
        <x:v>46280.73230614583</x:v>
      </x:c>
    </x:row>
    <x:row r="93">
      <x:c r="A93" t="str">
        <x:v>benchmark_results (3).csv</x:v>
      </x:c>
      <x:c r="B93" t="str">
        <x:v>Commercial</x:v>
      </x:c>
      <x:c r="C93" t="str">
        <x:v>Black Forest Labs</x:v>
      </x:c>
      <x:c r="D93" t="str">
        <x:v>FLUX 2 Pro</x:v>
      </x:c>
      <x:c r="E93" t="str">
        <x:v>4229ba19-b58e-40bd-bcfa-653a03d37ab7</x:v>
      </x:c>
      <x:c r="F93" t="str">
        <x:v>CC-01</x:v>
      </x:c>
      <x:c r="G93" t="str">
        <x:v>complex_compositions</x:v>
      </x:c>
      <x:c r="H93" t="n">
        <x:v>1024</x:v>
      </x:c>
      <x:c r="I93" t="n">
        <x:v>1024</x:v>
      </x:c>
      <x:c r="J93" s="34" t="n">
        <x:v>14.365</x:v>
      </x:c>
      <x:c r="K93" s="36"/>
      <x:c r="L93" s="38" t="n">
        <x:v>0.031457</x:v>
      </x:c>
      <x:c r="M93" s="48" t="b">
        <x:v>1</x:v>
      </x:c>
      <x:c r="N93" t="str"/>
      <x:c r="O93" t="str">
        <x:v>benchmark/results/images/bfl/4229ba19_CC-01.png</x:v>
      </x:c>
      <x:c r="P93" t="n">
        <x:v>46280.73247668982</x:v>
      </x:c>
    </x:row>
    <x:row r="94">
      <x:c r="A94" t="str">
        <x:v>benchmark_results (3).csv</x:v>
      </x:c>
      <x:c r="B94" t="str">
        <x:v>Commercial</x:v>
      </x:c>
      <x:c r="C94" t="str">
        <x:v>OpenAI</x:v>
      </x:c>
      <x:c r="D94" t="str">
        <x:v>GPT Image 2</x:v>
      </x:c>
      <x:c r="E94" t="str">
        <x:v>4229ba19-b58e-40bd-bcfa-653a03d37ab7</x:v>
      </x:c>
      <x:c r="F94" t="str">
        <x:v>CC-02</x:v>
      </x:c>
      <x:c r="G94" t="str">
        <x:v>complex_compositions</x:v>
      </x:c>
      <x:c r="H94" t="n">
        <x:v>1024</x:v>
      </x:c>
      <x:c r="I94" t="n">
        <x:v>1024</x:v>
      </x:c>
      <x:c r="J94" s="34" t="n">
        <x:v>49.046</x:v>
      </x:c>
      <x:c r="K94" s="36"/>
      <x:c r="L94" s="38" t="n">
        <x:v>0.05</x:v>
      </x:c>
      <x:c r="M94" s="48" t="b">
        <x:v>1</x:v>
      </x:c>
      <x:c r="N94" t="str"/>
      <x:c r="O94" t="str">
        <x:v>benchmark/results/images/openai/4229ba19_CC-02.png</x:v>
      </x:c>
      <x:c r="P94" t="n">
        <x:v>46280.733049918985</x:v>
      </x:c>
    </x:row>
    <x:row r="95">
      <x:c r="A95" t="str">
        <x:v>benchmark_results (3).csv</x:v>
      </x:c>
      <x:c r="B95" t="str">
        <x:v>Commercial</x:v>
      </x:c>
      <x:c r="C95" t="str">
        <x:v>Black Forest Labs</x:v>
      </x:c>
      <x:c r="D95" t="str">
        <x:v>FLUX 2 Pro</x:v>
      </x:c>
      <x:c r="E95" t="str">
        <x:v>4229ba19-b58e-40bd-bcfa-653a03d37ab7</x:v>
      </x:c>
      <x:c r="F95" t="str">
        <x:v>CC-02</x:v>
      </x:c>
      <x:c r="G95" t="str">
        <x:v>complex_compositions</x:v>
      </x:c>
      <x:c r="H95" t="n">
        <x:v>1024</x:v>
      </x:c>
      <x:c r="I95" t="n">
        <x:v>1024</x:v>
      </x:c>
      <x:c r="J95" s="34" t="n">
        <x:v>17.101</x:v>
      </x:c>
      <x:c r="K95" s="36"/>
      <x:c r="L95" s="38" t="n">
        <x:v>0.031457</x:v>
      </x:c>
      <x:c r="M95" s="48" t="b">
        <x:v>1</x:v>
      </x:c>
      <x:c r="N95" t="str"/>
      <x:c r="O95" t="str">
        <x:v>benchmark/results/images/bfl/4229ba19_CC-02.png</x:v>
      </x:c>
      <x:c r="P95" t="n">
        <x:v>46280.73325157407</x:v>
      </x:c>
    </x:row>
    <x:row r="96">
      <x:c r="A96" t="str">
        <x:v>benchmark_results (3).csv</x:v>
      </x:c>
      <x:c r="B96" t="str">
        <x:v>Commercial</x:v>
      </x:c>
      <x:c r="C96" t="str">
        <x:v>OpenAI</x:v>
      </x:c>
      <x:c r="D96" t="str">
        <x:v>GPT Image 2</x:v>
      </x:c>
      <x:c r="E96" t="str">
        <x:v>4229ba19-b58e-40bd-bcfa-653a03d37ab7</x:v>
      </x:c>
      <x:c r="F96" t="str">
        <x:v>CC-03</x:v>
      </x:c>
      <x:c r="G96" t="str">
        <x:v>complex_compositions</x:v>
      </x:c>
      <x:c r="H96" t="n">
        <x:v>1024</x:v>
      </x:c>
      <x:c r="I96" t="n">
        <x:v>1024</x:v>
      </x:c>
      <x:c r="J96" s="34" t="n">
        <x:v>54.086</x:v>
      </x:c>
      <x:c r="K96" s="36"/>
      <x:c r="L96" s="38" t="n">
        <x:v>0.05</x:v>
      </x:c>
      <x:c r="M96" s="48" t="b">
        <x:v>1</x:v>
      </x:c>
      <x:c r="N96" t="str"/>
      <x:c r="O96" t="str">
        <x:v>benchmark/results/images/openai/4229ba19_CC-03.png</x:v>
      </x:c>
      <x:c r="P96" t="n">
        <x:v>46280.73388431713</x:v>
      </x:c>
    </x:row>
    <x:row r="97">
      <x:c r="A97" t="str">
        <x:v>benchmark_results (3).csv</x:v>
      </x:c>
      <x:c r="B97" t="str">
        <x:v>Commercial</x:v>
      </x:c>
      <x:c r="C97" t="str">
        <x:v>Black Forest Labs</x:v>
      </x:c>
      <x:c r="D97" t="str">
        <x:v>FLUX 2 Pro</x:v>
      </x:c>
      <x:c r="E97" t="str">
        <x:v>4229ba19-b58e-40bd-bcfa-653a03d37ab7</x:v>
      </x:c>
      <x:c r="F97" t="str">
        <x:v>CC-03</x:v>
      </x:c>
      <x:c r="G97" t="str">
        <x:v>complex_compositions</x:v>
      </x:c>
      <x:c r="H97" t="n">
        <x:v>1024</x:v>
      </x:c>
      <x:c r="I97" t="n">
        <x:v>1024</x:v>
      </x:c>
      <x:c r="J97" s="34" t="n">
        <x:v>16.74</x:v>
      </x:c>
      <x:c r="K97" s="36"/>
      <x:c r="L97" s="38" t="n">
        <x:v>0.031457</x:v>
      </x:c>
      <x:c r="M97" s="48" t="b">
        <x:v>1</x:v>
      </x:c>
      <x:c r="N97" t="str"/>
      <x:c r="O97" t="str">
        <x:v>benchmark/results/images/bfl/4229ba19_CC-03.png</x:v>
      </x:c>
      <x:c r="P97" t="n">
        <x:v>46280.73408204861</x:v>
      </x:c>
    </x:row>
    <x:row r="98">
      <x:c r="A98" t="str">
        <x:v>benchmark_results (3).csv</x:v>
      </x:c>
      <x:c r="B98" t="str">
        <x:v>Commercial</x:v>
      </x:c>
      <x:c r="C98" t="str">
        <x:v>OpenAI</x:v>
      </x:c>
      <x:c r="D98" t="str">
        <x:v>GPT Image 2</x:v>
      </x:c>
      <x:c r="E98" t="str">
        <x:v>4229ba19-b58e-40bd-bcfa-653a03d37ab7</x:v>
      </x:c>
      <x:c r="F98" t="str">
        <x:v>CC-04</x:v>
      </x:c>
      <x:c r="G98" t="str">
        <x:v>complex_compositions</x:v>
      </x:c>
      <x:c r="H98" t="n">
        <x:v>1024</x:v>
      </x:c>
      <x:c r="I98" t="n">
        <x:v>1024</x:v>
      </x:c>
      <x:c r="J98" s="34" t="n">
        <x:v>47.902</x:v>
      </x:c>
      <x:c r="K98" s="36"/>
      <x:c r="L98" s="38" t="n">
        <x:v>0.05</x:v>
      </x:c>
      <x:c r="M98" s="48" t="b">
        <x:v>1</x:v>
      </x:c>
      <x:c r="N98" t="str"/>
      <x:c r="O98" t="str">
        <x:v>benchmark/results/images/openai/4229ba19_CC-04.png</x:v>
      </x:c>
      <x:c r="P98" t="n">
        <x:v>46280.734642013886</x:v>
      </x:c>
    </x:row>
    <x:row r="99">
      <x:c r="A99" t="str">
        <x:v>benchmark_results (3).csv</x:v>
      </x:c>
      <x:c r="B99" t="str">
        <x:v>Commercial</x:v>
      </x:c>
      <x:c r="C99" t="str">
        <x:v>Black Forest Labs</x:v>
      </x:c>
      <x:c r="D99" t="str">
        <x:v>FLUX 2 Pro</x:v>
      </x:c>
      <x:c r="E99" t="str">
        <x:v>4229ba19-b58e-40bd-bcfa-653a03d37ab7</x:v>
      </x:c>
      <x:c r="F99" t="str">
        <x:v>CC-04</x:v>
      </x:c>
      <x:c r="G99" t="str">
        <x:v>complex_compositions</x:v>
      </x:c>
      <x:c r="H99" t="n">
        <x:v>1024</x:v>
      </x:c>
      <x:c r="I99" t="n">
        <x:v>1024</x:v>
      </x:c>
      <x:c r="J99" s="34" t="n">
        <x:v>16.561</x:v>
      </x:c>
      <x:c r="K99" s="36"/>
      <x:c r="L99" s="38" t="n">
        <x:v>0.031457</x:v>
      </x:c>
      <x:c r="M99" s="48" t="b">
        <x:v>1</x:v>
      </x:c>
      <x:c r="N99" t="str"/>
      <x:c r="O99" t="str">
        <x:v>benchmark/results/images/bfl/4229ba19_CC-04.png</x:v>
      </x:c>
      <x:c r="P99" t="n">
        <x:v>46280.73483789352</x:v>
      </x:c>
    </x:row>
    <x:row r="100">
      <x:c r="A100" t="str">
        <x:v>benchmark_results (3).csv</x:v>
      </x:c>
      <x:c r="B100" t="str">
        <x:v>Commercial</x:v>
      </x:c>
      <x:c r="C100" t="str">
        <x:v>OpenAI</x:v>
      </x:c>
      <x:c r="D100" t="str">
        <x:v>GPT Image 2</x:v>
      </x:c>
      <x:c r="E100" t="str">
        <x:v>4229ba19-b58e-40bd-bcfa-653a03d37ab7</x:v>
      </x:c>
      <x:c r="F100" t="str">
        <x:v>CC-05</x:v>
      </x:c>
      <x:c r="G100" t="str">
        <x:v>complex_compositions</x:v>
      </x:c>
      <x:c r="H100" t="n">
        <x:v>1024</x:v>
      </x:c>
      <x:c r="I100" t="n">
        <x:v>1024</x:v>
      </x:c>
      <x:c r="J100" s="34" t="n">
        <x:v>49.22</x:v>
      </x:c>
      <x:c r="K100" s="36"/>
      <x:c r="L100" s="38" t="n">
        <x:v>0.05</x:v>
      </x:c>
      <x:c r="M100" s="48" t="b">
        <x:v>1</x:v>
      </x:c>
      <x:c r="N100" t="str"/>
      <x:c r="O100" t="str">
        <x:v>benchmark/results/images/openai/4229ba19_CC-05.png</x:v>
      </x:c>
      <x:c r="P100" t="n">
        <x:v>46280.73541317129</x:v>
      </x:c>
    </x:row>
    <x:row r="101">
      <x:c r="A101" t="str">
        <x:v>benchmark_results (3).csv</x:v>
      </x:c>
      <x:c r="B101" t="str">
        <x:v>Commercial</x:v>
      </x:c>
      <x:c r="C101" t="str">
        <x:v>Black Forest Labs</x:v>
      </x:c>
      <x:c r="D101" t="str">
        <x:v>FLUX 2 Pro</x:v>
      </x:c>
      <x:c r="E101" t="str">
        <x:v>4229ba19-b58e-40bd-bcfa-653a03d37ab7</x:v>
      </x:c>
      <x:c r="F101" t="str">
        <x:v>CC-05</x:v>
      </x:c>
      <x:c r="G101" t="str">
        <x:v>complex_compositions</x:v>
      </x:c>
      <x:c r="H101" t="n">
        <x:v>1024</x:v>
      </x:c>
      <x:c r="I101" t="n">
        <x:v>1024</x:v>
      </x:c>
      <x:c r="J101" s="34" t="n">
        <x:v>24.412</x:v>
      </x:c>
      <x:c r="K101" s="36"/>
      <x:c r="L101" s="38" t="n">
        <x:v>0.031457</x:v>
      </x:c>
      <x:c r="M101" s="48" t="b">
        <x:v>1</x:v>
      </x:c>
      <x:c r="N101" t="str"/>
      <x:c r="O101" t="str">
        <x:v>benchmark/results/images/bfl/4229ba19_CC-05.png</x:v>
      </x:c>
      <x:c r="P101" t="n">
        <x:v>46280.73569959491</x:v>
      </x:c>
    </x:row>
    <x:row r="102">
      <x:c r="A102" t="str">
        <x:v>benchmark_results (3).csv</x:v>
      </x:c>
      <x:c r="B102" t="str">
        <x:v>Commercial</x:v>
      </x:c>
      <x:c r="C102" t="str">
        <x:v>Google</x:v>
      </x:c>
      <x:c r="D102" t="str">
        <x:v>Gemini 3.1 Flash Image</x:v>
      </x:c>
      <x:c r="E102" t="str">
        <x:v>ab9f43fe-024f-44d9-8c1e-faba39ccf634</x:v>
      </x:c>
      <x:c r="F102" t="str">
        <x:v>PL-01</x:v>
      </x:c>
      <x:c r="G102" t="str">
        <x:v>people_lifestyle</x:v>
      </x:c>
      <x:c r="H102" t="n">
        <x:v>1024</x:v>
      </x:c>
      <x:c r="I102" t="n">
        <x:v>1024</x:v>
      </x:c>
      <x:c r="J102" s="34" t="n">
        <x:v>9.388</x:v>
      </x:c>
      <x:c r="K102" s="36"/>
      <x:c r="L102" s="38" t="n">
        <x:v>0.067</x:v>
      </x:c>
      <x:c r="M102" s="48" t="b">
        <x:v>1</x:v>
      </x:c>
      <x:c r="N102" t="str"/>
      <x:c r="O102" t="str">
        <x:v>benchmark/results/images/google/ab9f43fe_PL-01.png</x:v>
      </x:c>
      <x:c r="P102" t="n">
        <x:v>46281.70504101852</x:v>
      </x:c>
    </x:row>
    <x:row r="103">
      <x:c r="A103" t="str">
        <x:v>benchmark_results (3).csv</x:v>
      </x:c>
      <x:c r="B103" t="str">
        <x:v>Commercial</x:v>
      </x:c>
      <x:c r="C103" t="str">
        <x:v>Google</x:v>
      </x:c>
      <x:c r="D103" t="str">
        <x:v>Gemini 3.1 Flash Image</x:v>
      </x:c>
      <x:c r="E103" t="str">
        <x:v>ab9f43fe-024f-44d9-8c1e-faba39ccf634</x:v>
      </x:c>
      <x:c r="F103" t="str">
        <x:v>PL-02</x:v>
      </x:c>
      <x:c r="G103" t="str">
        <x:v>people_lifestyle</x:v>
      </x:c>
      <x:c r="H103" t="n">
        <x:v>1024</x:v>
      </x:c>
      <x:c r="I103" t="n">
        <x:v>1024</x:v>
      </x:c>
      <x:c r="J103" s="34" t="n">
        <x:v>9.43</x:v>
      </x:c>
      <x:c r="K103" s="36"/>
      <x:c r="L103" s="38" t="n">
        <x:v>0.067</x:v>
      </x:c>
      <x:c r="M103" s="48" t="b">
        <x:v>1</x:v>
      </x:c>
      <x:c r="N103" t="str"/>
      <x:c r="O103" t="str">
        <x:v>benchmark/results/images/google/ab9f43fe_PL-02.png</x:v>
      </x:c>
      <x:c r="P103" t="n">
        <x:v>46281.705150625</x:v>
      </x:c>
    </x:row>
    <x:row r="104">
      <x:c r="A104" t="str">
        <x:v>benchmark_results (3).csv</x:v>
      </x:c>
      <x:c r="B104" t="str">
        <x:v>Commercial</x:v>
      </x:c>
      <x:c r="C104" t="str">
        <x:v>Google</x:v>
      </x:c>
      <x:c r="D104" t="str">
        <x:v>Gemini 3.1 Flash Image</x:v>
      </x:c>
      <x:c r="E104" t="str">
        <x:v>ab9f43fe-024f-44d9-8c1e-faba39ccf634</x:v>
      </x:c>
      <x:c r="F104" t="str">
        <x:v>PL-03</x:v>
      </x:c>
      <x:c r="G104" t="str">
        <x:v>people_lifestyle</x:v>
      </x:c>
      <x:c r="H104" t="n">
        <x:v>1024</x:v>
      </x:c>
      <x:c r="I104" t="n">
        <x:v>1024</x:v>
      </x:c>
      <x:c r="J104" s="34" t="n">
        <x:v>9.104</x:v>
      </x:c>
      <x:c r="K104" s="36"/>
      <x:c r="L104" s="38" t="n">
        <x:v>0.067</x:v>
      </x:c>
      <x:c r="M104" s="48" t="b">
        <x:v>1</x:v>
      </x:c>
      <x:c r="N104" t="str"/>
      <x:c r="O104" t="str">
        <x:v>benchmark/results/images/google/ab9f43fe_PL-03.png</x:v>
      </x:c>
      <x:c r="P104" t="n">
        <x:v>46281.70525648148</x:v>
      </x:c>
    </x:row>
    <x:row r="105">
      <x:c r="A105" t="str">
        <x:v>benchmark_results (3).csv</x:v>
      </x:c>
      <x:c r="B105" t="str">
        <x:v>Commercial</x:v>
      </x:c>
      <x:c r="C105" t="str">
        <x:v>Google</x:v>
      </x:c>
      <x:c r="D105" t="str">
        <x:v>Gemini 3.1 Flash Image</x:v>
      </x:c>
      <x:c r="E105" t="str">
        <x:v>ab9f43fe-024f-44d9-8c1e-faba39ccf634</x:v>
      </x:c>
      <x:c r="F105" t="str">
        <x:v>PL-04</x:v>
      </x:c>
      <x:c r="G105" t="str">
        <x:v>people_lifestyle</x:v>
      </x:c>
      <x:c r="H105" t="n">
        <x:v>1024</x:v>
      </x:c>
      <x:c r="I105" t="n">
        <x:v>1024</x:v>
      </x:c>
      <x:c r="J105" s="34" t="n">
        <x:v>8.613</x:v>
      </x:c>
      <x:c r="K105" s="36"/>
      <x:c r="L105" s="38" t="n">
        <x:v>0.067</x:v>
      </x:c>
      <x:c r="M105" s="48" t="b">
        <x:v>1</x:v>
      </x:c>
      <x:c r="N105" t="str"/>
      <x:c r="O105" t="str">
        <x:v>benchmark/results/images/google/ab9f43fe_PL-04.png</x:v>
      </x:c>
      <x:c r="P105" t="n">
        <x:v>46281.70535667824</x:v>
      </x:c>
    </x:row>
    <x:row r="106">
      <x:c r="A106" t="str">
        <x:v>benchmark_results (3).csv</x:v>
      </x:c>
      <x:c r="B106" t="str">
        <x:v>Commercial</x:v>
      </x:c>
      <x:c r="C106" t="str">
        <x:v>Google</x:v>
      </x:c>
      <x:c r="D106" t="str">
        <x:v>Gemini 3.1 Flash Image</x:v>
      </x:c>
      <x:c r="E106" t="str">
        <x:v>ab9f43fe-024f-44d9-8c1e-faba39ccf634</x:v>
      </x:c>
      <x:c r="F106" t="str">
        <x:v>PL-05</x:v>
      </x:c>
      <x:c r="G106" t="str">
        <x:v>people_lifestyle</x:v>
      </x:c>
      <x:c r="H106" t="n">
        <x:v>1024</x:v>
      </x:c>
      <x:c r="I106" t="n">
        <x:v>1024</x:v>
      </x:c>
      <x:c r="J106" s="34" t="n">
        <x:v>9.06</x:v>
      </x:c>
      <x:c r="K106" s="36"/>
      <x:c r="L106" s="38" t="n">
        <x:v>0.067</x:v>
      </x:c>
      <x:c r="M106" s="48" t="b">
        <x:v>1</x:v>
      </x:c>
      <x:c r="N106" t="str"/>
      <x:c r="O106" t="str">
        <x:v>benchmark/results/images/google/ab9f43fe_PL-05.png</x:v>
      </x:c>
      <x:c r="P106" t="n">
        <x:v>46281.70546201389</x:v>
      </x:c>
    </x:row>
    <x:row r="107">
      <x:c r="A107" t="str">
        <x:v>benchmark_results (3).csv</x:v>
      </x:c>
      <x:c r="B107" t="str">
        <x:v>Commercial</x:v>
      </x:c>
      <x:c r="C107" t="str">
        <x:v>Google</x:v>
      </x:c>
      <x:c r="D107" t="str">
        <x:v>Gemini 3.1 Flash Image</x:v>
      </x:c>
      <x:c r="E107" t="str">
        <x:v>ab9f43fe-024f-44d9-8c1e-faba39ccf634</x:v>
      </x:c>
      <x:c r="F107" t="str">
        <x:v>TT-01</x:v>
      </x:c>
      <x:c r="G107" t="str">
        <x:v>text_typography</x:v>
      </x:c>
      <x:c r="H107" t="n">
        <x:v>1024</x:v>
      </x:c>
      <x:c r="I107" t="n">
        <x:v>1024</x:v>
      </x:c>
      <x:c r="J107" s="34" t="n">
        <x:v>8.139</x:v>
      </x:c>
      <x:c r="K107" s="36"/>
      <x:c r="L107" s="38" t="n">
        <x:v>0.067</x:v>
      </x:c>
      <x:c r="M107" s="48" t="b">
        <x:v>1</x:v>
      </x:c>
      <x:c r="N107" t="str"/>
      <x:c r="O107" t="str">
        <x:v>benchmark/results/images/google/ab9f43fe_TT-01.png</x:v>
      </x:c>
      <x:c r="P107" t="n">
        <x:v>46281.7055569213</x:v>
      </x:c>
    </x:row>
    <x:row r="108">
      <x:c r="A108" t="str">
        <x:v>benchmark_results (3).csv</x:v>
      </x:c>
      <x:c r="B108" t="str">
        <x:v>Commercial</x:v>
      </x:c>
      <x:c r="C108" t="str">
        <x:v>Google</x:v>
      </x:c>
      <x:c r="D108" t="str">
        <x:v>Gemini 3.1 Flash Image</x:v>
      </x:c>
      <x:c r="E108" t="str">
        <x:v>ab9f43fe-024f-44d9-8c1e-faba39ccf634</x:v>
      </x:c>
      <x:c r="F108" t="str">
        <x:v>TT-02</x:v>
      </x:c>
      <x:c r="G108" t="str">
        <x:v>text_typography</x:v>
      </x:c>
      <x:c r="H108" t="n">
        <x:v>1024</x:v>
      </x:c>
      <x:c r="I108" t="n">
        <x:v>1024</x:v>
      </x:c>
      <x:c r="J108" s="34" t="n">
        <x:v>8.94</x:v>
      </x:c>
      <x:c r="K108" s="36"/>
      <x:c r="L108" s="38" t="n">
        <x:v>0.067</x:v>
      </x:c>
      <x:c r="M108" s="48" t="b">
        <x:v>1</x:v>
      </x:c>
      <x:c r="N108" t="str"/>
      <x:c r="O108" t="str">
        <x:v>benchmark/results/images/google/ab9f43fe_TT-02.png</x:v>
      </x:c>
      <x:c r="P108" t="n">
        <x:v>46281.70566085648</x:v>
      </x:c>
    </x:row>
    <x:row r="109">
      <x:c r="A109" t="str">
        <x:v>benchmark_results (3).csv</x:v>
      </x:c>
      <x:c r="B109" t="str">
        <x:v>Commercial</x:v>
      </x:c>
      <x:c r="C109" t="str">
        <x:v>Google</x:v>
      </x:c>
      <x:c r="D109" t="str">
        <x:v>Gemini 3.1 Flash Image</x:v>
      </x:c>
      <x:c r="E109" t="str">
        <x:v>ab9f43fe-024f-44d9-8c1e-faba39ccf634</x:v>
      </x:c>
      <x:c r="F109" t="str">
        <x:v>TT-03</x:v>
      </x:c>
      <x:c r="G109" t="str">
        <x:v>text_typography</x:v>
      </x:c>
      <x:c r="H109" t="n">
        <x:v>1024</x:v>
      </x:c>
      <x:c r="I109" t="n">
        <x:v>1024</x:v>
      </x:c>
      <x:c r="J109" s="34" t="n">
        <x:v>7.556</x:v>
      </x:c>
      <x:c r="K109" s="36"/>
      <x:c r="L109" s="38" t="n">
        <x:v>0.067</x:v>
      </x:c>
      <x:c r="M109" s="48" t="b">
        <x:v>1</x:v>
      </x:c>
      <x:c r="N109" t="str"/>
      <x:c r="O109" t="str">
        <x:v>benchmark/results/images/google/ab9f43fe_TT-03.png</x:v>
      </x:c>
      <x:c r="P109" t="n">
        <x:v>46281.705748796296</x:v>
      </x:c>
    </x:row>
    <x:row r="110">
      <x:c r="A110" t="str">
        <x:v>benchmark_results (3).csv</x:v>
      </x:c>
      <x:c r="B110" t="str">
        <x:v>Commercial</x:v>
      </x:c>
      <x:c r="C110" t="str">
        <x:v>Google</x:v>
      </x:c>
      <x:c r="D110" t="str">
        <x:v>Gemini 3.1 Flash Image</x:v>
      </x:c>
      <x:c r="E110" t="str">
        <x:v>ab9f43fe-024f-44d9-8c1e-faba39ccf634</x:v>
      </x:c>
      <x:c r="F110" t="str">
        <x:v>TT-04</x:v>
      </x:c>
      <x:c r="G110" t="str">
        <x:v>text_typography</x:v>
      </x:c>
      <x:c r="H110" t="n">
        <x:v>1024</x:v>
      </x:c>
      <x:c r="I110" t="n">
        <x:v>1024</x:v>
      </x:c>
      <x:c r="J110" s="34" t="n">
        <x:v>7.921</x:v>
      </x:c>
      <x:c r="K110" s="36"/>
      <x:c r="L110" s="38" t="n">
        <x:v>0.067</x:v>
      </x:c>
      <x:c r="M110" s="48" t="b">
        <x:v>1</x:v>
      </x:c>
      <x:c r="N110" t="str"/>
      <x:c r="O110" t="str">
        <x:v>benchmark/results/images/google/ab9f43fe_TT-04.png</x:v>
      </x:c>
      <x:c r="P110" t="n">
        <x:v>46281.705840925926</x:v>
      </x:c>
    </x:row>
    <x:row r="111">
      <x:c r="A111" t="str">
        <x:v>benchmark_results (3).csv</x:v>
      </x:c>
      <x:c r="B111" t="str">
        <x:v>Commercial</x:v>
      </x:c>
      <x:c r="C111" t="str">
        <x:v>Google</x:v>
      </x:c>
      <x:c r="D111" t="str">
        <x:v>Gemini 3.1 Flash Image</x:v>
      </x:c>
      <x:c r="E111" t="str">
        <x:v>ab9f43fe-024f-44d9-8c1e-faba39ccf634</x:v>
      </x:c>
      <x:c r="F111" t="str">
        <x:v>TT-05</x:v>
      </x:c>
      <x:c r="G111" t="str">
        <x:v>text_typography</x:v>
      </x:c>
      <x:c r="H111" t="n">
        <x:v>1024</x:v>
      </x:c>
      <x:c r="I111" t="n">
        <x:v>1024</x:v>
      </x:c>
      <x:c r="J111" s="34" t="n">
        <x:v>8.625</x:v>
      </x:c>
      <x:c r="K111" s="36"/>
      <x:c r="L111" s="38" t="n">
        <x:v>0.067</x:v>
      </x:c>
      <x:c r="M111" s="48" t="b">
        <x:v>1</x:v>
      </x:c>
      <x:c r="N111" t="str"/>
      <x:c r="O111" t="str">
        <x:v>benchmark/results/images/google/ab9f43fe_TT-05.png</x:v>
      </x:c>
      <x:c r="P111" t="n">
        <x:v>46281.70594121528</x:v>
      </x:c>
    </x:row>
    <x:row r="112">
      <x:c r="A112" t="str">
        <x:v>benchmark_results (3).csv</x:v>
      </x:c>
      <x:c r="B112" t="str">
        <x:v>Commercial</x:v>
      </x:c>
      <x:c r="C112" t="str">
        <x:v>Google</x:v>
      </x:c>
      <x:c r="D112" t="str">
        <x:v>Gemini 3.1 Flash Image</x:v>
      </x:c>
      <x:c r="E112" t="str">
        <x:v>ab9f43fe-024f-44d9-8c1e-faba39ccf634</x:v>
      </x:c>
      <x:c r="F112" t="str">
        <x:v>BA-01</x:v>
      </x:c>
      <x:c r="G112" t="str">
        <x:v>branding_advertising</x:v>
      </x:c>
      <x:c r="H112" t="n">
        <x:v>1024</x:v>
      </x:c>
      <x:c r="I112" t="n">
        <x:v>1024</x:v>
      </x:c>
      <x:c r="J112" s="34" t="n">
        <x:v>9.032</x:v>
      </x:c>
      <x:c r="K112" s="36"/>
      <x:c r="L112" s="38" t="n">
        <x:v>0.067</x:v>
      </x:c>
      <x:c r="M112" s="48" t="b">
        <x:v>1</x:v>
      </x:c>
      <x:c r="N112" t="str"/>
      <x:c r="O112" t="str">
        <x:v>benchmark/results/images/google/ab9f43fe_BA-01.png</x:v>
      </x:c>
      <x:c r="P112" t="n">
        <x:v>46281.70604622685</x:v>
      </x:c>
    </x:row>
    <x:row r="113">
      <x:c r="A113" t="str">
        <x:v>benchmark_results (3).csv</x:v>
      </x:c>
      <x:c r="B113" t="str">
        <x:v>Commercial</x:v>
      </x:c>
      <x:c r="C113" t="str">
        <x:v>Google</x:v>
      </x:c>
      <x:c r="D113" t="str">
        <x:v>Gemini 3.1 Flash Image</x:v>
      </x:c>
      <x:c r="E113" t="str">
        <x:v>ab9f43fe-024f-44d9-8c1e-faba39ccf634</x:v>
      </x:c>
      <x:c r="F113" t="str">
        <x:v>BA-02</x:v>
      </x:c>
      <x:c r="G113" t="str">
        <x:v>branding_advertising</x:v>
      </x:c>
      <x:c r="H113" t="n">
        <x:v>1024</x:v>
      </x:c>
      <x:c r="I113" t="n">
        <x:v>1024</x:v>
      </x:c>
      <x:c r="J113" s="34" t="n">
        <x:v>9.772</x:v>
      </x:c>
      <x:c r="K113" s="36"/>
      <x:c r="L113" s="38" t="n">
        <x:v>0.067</x:v>
      </x:c>
      <x:c r="M113" s="48" t="b">
        <x:v>1</x:v>
      </x:c>
      <x:c r="N113" t="str"/>
      <x:c r="O113" t="str">
        <x:v>benchmark/results/images/google/ab9f43fe_BA-02.png</x:v>
      </x:c>
      <x:c r="P113" t="n">
        <x:v>46281.706159814814</x:v>
      </x:c>
    </x:row>
    <x:row r="114">
      <x:c r="A114" t="str">
        <x:v>benchmark_results (3).csv</x:v>
      </x:c>
      <x:c r="B114" t="str">
        <x:v>Commercial</x:v>
      </x:c>
      <x:c r="C114" t="str">
        <x:v>Google</x:v>
      </x:c>
      <x:c r="D114" t="str">
        <x:v>Gemini 3.1 Flash Image</x:v>
      </x:c>
      <x:c r="E114" t="str">
        <x:v>ab9f43fe-024f-44d9-8c1e-faba39ccf634</x:v>
      </x:c>
      <x:c r="F114" t="str">
        <x:v>BA-03</x:v>
      </x:c>
      <x:c r="G114" t="str">
        <x:v>branding_advertising</x:v>
      </x:c>
      <x:c r="H114" t="n">
        <x:v>1024</x:v>
      </x:c>
      <x:c r="I114" t="n">
        <x:v>1024</x:v>
      </x:c>
      <x:c r="J114" s="34" t="n">
        <x:v>9.097</x:v>
      </x:c>
      <x:c r="K114" s="36"/>
      <x:c r="L114" s="38" t="n">
        <x:v>0.067</x:v>
      </x:c>
      <x:c r="M114" s="48" t="b">
        <x:v>1</x:v>
      </x:c>
      <x:c r="N114" t="str"/>
      <x:c r="O114" t="str">
        <x:v>benchmark/results/images/google/ab9f43fe_BA-03.png</x:v>
      </x:c>
      <x:c r="P114" t="n">
        <x:v>46281.70626559028</x:v>
      </x:c>
    </x:row>
    <x:row r="115">
      <x:c r="A115" t="str">
        <x:v>benchmark_results (3).csv</x:v>
      </x:c>
      <x:c r="B115" t="str">
        <x:v>Commercial</x:v>
      </x:c>
      <x:c r="C115" t="str">
        <x:v>Google</x:v>
      </x:c>
      <x:c r="D115" t="str">
        <x:v>Gemini 3.1 Flash Image</x:v>
      </x:c>
      <x:c r="E115" t="str">
        <x:v>ab9f43fe-024f-44d9-8c1e-faba39ccf634</x:v>
      </x:c>
      <x:c r="F115" t="str">
        <x:v>BA-04</x:v>
      </x:c>
      <x:c r="G115" t="str">
        <x:v>branding_advertising</x:v>
      </x:c>
      <x:c r="H115" t="n">
        <x:v>1024</x:v>
      </x:c>
      <x:c r="I115" t="n">
        <x:v>1024</x:v>
      </x:c>
      <x:c r="J115" s="34" t="n">
        <x:v>8.375</x:v>
      </x:c>
      <x:c r="K115" s="36"/>
      <x:c r="L115" s="38" t="n">
        <x:v>0.067</x:v>
      </x:c>
      <x:c r="M115" s="48" t="b">
        <x:v>1</x:v>
      </x:c>
      <x:c r="N115" t="str"/>
      <x:c r="O115" t="str">
        <x:v>benchmark/results/images/google/ab9f43fe_BA-04.png</x:v>
      </x:c>
      <x:c r="P115" t="n">
        <x:v>46281.706362997684</x:v>
      </x:c>
    </x:row>
    <x:row r="116">
      <x:c r="A116" t="str">
        <x:v>benchmark_results (3).csv</x:v>
      </x:c>
      <x:c r="B116" t="str">
        <x:v>Commercial</x:v>
      </x:c>
      <x:c r="C116" t="str">
        <x:v>Google</x:v>
      </x:c>
      <x:c r="D116" t="str">
        <x:v>Gemini 3.1 Flash Image</x:v>
      </x:c>
      <x:c r="E116" t="str">
        <x:v>ab9f43fe-024f-44d9-8c1e-faba39ccf634</x:v>
      </x:c>
      <x:c r="F116" t="str">
        <x:v>BA-05</x:v>
      </x:c>
      <x:c r="G116" t="str">
        <x:v>branding_advertising</x:v>
      </x:c>
      <x:c r="H116" t="n">
        <x:v>1024</x:v>
      </x:c>
      <x:c r="I116" t="n">
        <x:v>1024</x:v>
      </x:c>
      <x:c r="J116" s="34" t="n">
        <x:v>9.123</x:v>
      </x:c>
      <x:c r="K116" s="36"/>
      <x:c r="L116" s="38" t="n">
        <x:v>0.067</x:v>
      </x:c>
      <x:c r="M116" s="48" t="b">
        <x:v>1</x:v>
      </x:c>
      <x:c r="N116" t="str"/>
      <x:c r="O116" t="str">
        <x:v>benchmark/results/images/google/ab9f43fe_BA-05.png</x:v>
      </x:c>
      <x:c r="P116" t="n">
        <x:v>46281.70646903935</x:v>
      </x:c>
    </x:row>
    <x:row r="117">
      <x:c r="A117" t="str">
        <x:v>benchmark_results (3).csv</x:v>
      </x:c>
      <x:c r="B117" t="str">
        <x:v>Commercial</x:v>
      </x:c>
      <x:c r="C117" t="str">
        <x:v>Google</x:v>
      </x:c>
      <x:c r="D117" t="str">
        <x:v>Gemini 3.1 Flash Image</x:v>
      </x:c>
      <x:c r="E117" t="str">
        <x:v>ab9f43fe-024f-44d9-8c1e-faba39ccf634</x:v>
      </x:c>
      <x:c r="F117" t="str">
        <x:v>PO-01</x:v>
      </x:c>
      <x:c r="G117" t="str">
        <x:v>products_objects</x:v>
      </x:c>
      <x:c r="H117" t="n">
        <x:v>1024</x:v>
      </x:c>
      <x:c r="I117" t="n">
        <x:v>1024</x:v>
      </x:c>
      <x:c r="J117" s="34" t="n">
        <x:v>8.683</x:v>
      </x:c>
      <x:c r="K117" s="36"/>
      <x:c r="L117" s="38" t="n">
        <x:v>0.067</x:v>
      </x:c>
      <x:c r="M117" s="48" t="b">
        <x:v>1</x:v>
      </x:c>
      <x:c r="N117" t="str"/>
      <x:c r="O117" t="str">
        <x:v>benchmark/results/images/google/ab9f43fe_PO-01.png</x:v>
      </x:c>
      <x:c r="P117" t="n">
        <x:v>46281.70657002315</x:v>
      </x:c>
    </x:row>
    <x:row r="118">
      <x:c r="A118" t="str">
        <x:v>benchmark_results (3).csv</x:v>
      </x:c>
      <x:c r="B118" t="str">
        <x:v>Commercial</x:v>
      </x:c>
      <x:c r="C118" t="str">
        <x:v>Google</x:v>
      </x:c>
      <x:c r="D118" t="str">
        <x:v>Gemini 3.1 Flash Image</x:v>
      </x:c>
      <x:c r="E118" t="str">
        <x:v>ab9f43fe-024f-44d9-8c1e-faba39ccf634</x:v>
      </x:c>
      <x:c r="F118" t="str">
        <x:v>PO-02</x:v>
      </x:c>
      <x:c r="G118" t="str">
        <x:v>products_objects</x:v>
      </x:c>
      <x:c r="H118" t="n">
        <x:v>1024</x:v>
      </x:c>
      <x:c r="I118" t="n">
        <x:v>1024</x:v>
      </x:c>
      <x:c r="J118" s="34" t="n">
        <x:v>8.762</x:v>
      </x:c>
      <x:c r="K118" s="36"/>
      <x:c r="L118" s="38" t="n">
        <x:v>0.067</x:v>
      </x:c>
      <x:c r="M118" s="48" t="b">
        <x:v>1</x:v>
      </x:c>
      <x:c r="N118" t="str"/>
      <x:c r="O118" t="str">
        <x:v>benchmark/results/images/google/ab9f43fe_PO-02.png</x:v>
      </x:c>
      <x:c r="P118" t="n">
        <x:v>46281.706671921296</x:v>
      </x:c>
    </x:row>
    <x:row r="119">
      <x:c r="A119" t="str">
        <x:v>benchmark_results (3).csv</x:v>
      </x:c>
      <x:c r="B119" t="str">
        <x:v>Commercial</x:v>
      </x:c>
      <x:c r="C119" t="str">
        <x:v>Google</x:v>
      </x:c>
      <x:c r="D119" t="str">
        <x:v>Gemini 3.1 Flash Image</x:v>
      </x:c>
      <x:c r="E119" t="str">
        <x:v>ab9f43fe-024f-44d9-8c1e-faba39ccf634</x:v>
      </x:c>
      <x:c r="F119" t="str">
        <x:v>PO-03</x:v>
      </x:c>
      <x:c r="G119" t="str">
        <x:v>products_objects</x:v>
      </x:c>
      <x:c r="H119" t="n">
        <x:v>1024</x:v>
      </x:c>
      <x:c r="I119" t="n">
        <x:v>1024</x:v>
      </x:c>
      <x:c r="J119" s="34" t="n">
        <x:v>9.06</x:v>
      </x:c>
      <x:c r="K119" s="36"/>
      <x:c r="L119" s="38" t="n">
        <x:v>0.067</x:v>
      </x:c>
      <x:c r="M119" s="48" t="b">
        <x:v>1</x:v>
      </x:c>
      <x:c r="N119" t="str"/>
      <x:c r="O119" t="str">
        <x:v>benchmark/results/images/google/ab9f43fe_PO-03.png</x:v>
      </x:c>
      <x:c r="P119" t="n">
        <x:v>46281.70677725694</x:v>
      </x:c>
    </x:row>
    <x:row r="120">
      <x:c r="A120" t="str">
        <x:v>benchmark_results (3).csv</x:v>
      </x:c>
      <x:c r="B120" t="str">
        <x:v>Commercial</x:v>
      </x:c>
      <x:c r="C120" t="str">
        <x:v>Google</x:v>
      </x:c>
      <x:c r="D120" t="str">
        <x:v>Gemini 3.1 Flash Image</x:v>
      </x:c>
      <x:c r="E120" t="str">
        <x:v>ab9f43fe-024f-44d9-8c1e-faba39ccf634</x:v>
      </x:c>
      <x:c r="F120" t="str">
        <x:v>PO-04</x:v>
      </x:c>
      <x:c r="G120" t="str">
        <x:v>products_objects</x:v>
      </x:c>
      <x:c r="H120" t="n">
        <x:v>1024</x:v>
      </x:c>
      <x:c r="I120" t="n">
        <x:v>1024</x:v>
      </x:c>
      <x:c r="J120" s="34" t="n">
        <x:v>9.326</x:v>
      </x:c>
      <x:c r="K120" s="36"/>
      <x:c r="L120" s="38" t="n">
        <x:v>0.067</x:v>
      </x:c>
      <x:c r="M120" s="48" t="b">
        <x:v>1</x:v>
      </x:c>
      <x:c r="N120" t="str"/>
      <x:c r="O120" t="str">
        <x:v>benchmark/results/images/google/ab9f43fe_PO-04.png</x:v>
      </x:c>
      <x:c r="P120" t="n">
        <x:v>46281.70688568287</x:v>
      </x:c>
    </x:row>
    <x:row r="121">
      <x:c r="A121" t="str">
        <x:v>benchmark_results (3).csv</x:v>
      </x:c>
      <x:c r="B121" t="str">
        <x:v>Commercial</x:v>
      </x:c>
      <x:c r="C121" t="str">
        <x:v>Google</x:v>
      </x:c>
      <x:c r="D121" t="str">
        <x:v>Gemini 3.1 Flash Image</x:v>
      </x:c>
      <x:c r="E121" t="str">
        <x:v>ab9f43fe-024f-44d9-8c1e-faba39ccf634</x:v>
      </x:c>
      <x:c r="F121" t="str">
        <x:v>PO-05</x:v>
      </x:c>
      <x:c r="G121" t="str">
        <x:v>products_objects</x:v>
      </x:c>
      <x:c r="H121" t="n">
        <x:v>1024</x:v>
      </x:c>
      <x:c r="I121" t="n">
        <x:v>1024</x:v>
      </x:c>
      <x:c r="J121" s="34" t="n">
        <x:v>8.506</x:v>
      </x:c>
      <x:c r="K121" s="36"/>
      <x:c r="L121" s="38" t="n">
        <x:v>0.067</x:v>
      </x:c>
      <x:c r="M121" s="48" t="b">
        <x:v>1</x:v>
      </x:c>
      <x:c r="N121" t="str"/>
      <x:c r="O121" t="str">
        <x:v>benchmark/results/images/google/ab9f43fe_PO-05.png</x:v>
      </x:c>
      <x:c r="P121" t="n">
        <x:v>46281.706984606484</x:v>
      </x:c>
    </x:row>
    <x:row r="122">
      <x:c r="A122" t="str">
        <x:v>benchmark_results (3).csv</x:v>
      </x:c>
      <x:c r="B122" t="str">
        <x:v>Commercial</x:v>
      </x:c>
      <x:c r="C122" t="str">
        <x:v>Google</x:v>
      </x:c>
      <x:c r="D122" t="str">
        <x:v>Gemini 3.1 Flash Image</x:v>
      </x:c>
      <x:c r="E122" t="str">
        <x:v>ab9f43fe-024f-44d9-8c1e-faba39ccf634</x:v>
      </x:c>
      <x:c r="F122" t="str">
        <x:v>CC-01</x:v>
      </x:c>
      <x:c r="G122" t="str">
        <x:v>complex_compositions</x:v>
      </x:c>
      <x:c r="H122" t="n">
        <x:v>1024</x:v>
      </x:c>
      <x:c r="I122" t="n">
        <x:v>1024</x:v>
      </x:c>
      <x:c r="J122" s="34" t="n">
        <x:v>8.701</x:v>
      </x:c>
      <x:c r="K122" s="36"/>
      <x:c r="L122" s="38" t="n">
        <x:v>0.067</x:v>
      </x:c>
      <x:c r="M122" s="48" t="b">
        <x:v>1</x:v>
      </x:c>
      <x:c r="N122" t="str"/>
      <x:c r="O122" t="str">
        <x:v>benchmark/results/images/google/ab9f43fe_CC-01.png</x:v>
      </x:c>
      <x:c r="P122" t="n">
        <x:v>46281.707085787035</x:v>
      </x:c>
    </x:row>
    <x:row r="123">
      <x:c r="A123" t="str">
        <x:v>benchmark_results (3).csv</x:v>
      </x:c>
      <x:c r="B123" t="str">
        <x:v>Commercial</x:v>
      </x:c>
      <x:c r="C123" t="str">
        <x:v>Google</x:v>
      </x:c>
      <x:c r="D123" t="str">
        <x:v>Gemini 3.1 Flash Image</x:v>
      </x:c>
      <x:c r="E123" t="str">
        <x:v>ab9f43fe-024f-44d9-8c1e-faba39ccf634</x:v>
      </x:c>
      <x:c r="F123" t="str">
        <x:v>CC-02</x:v>
      </x:c>
      <x:c r="G123" t="str">
        <x:v>complex_compositions</x:v>
      </x:c>
      <x:c r="H123" t="n">
        <x:v>1024</x:v>
      </x:c>
      <x:c r="I123" t="n">
        <x:v>1024</x:v>
      </x:c>
      <x:c r="J123" s="34" t="n">
        <x:v>9.549</x:v>
      </x:c>
      <x:c r="K123" s="36"/>
      <x:c r="L123" s="38" t="n">
        <x:v>0.067</x:v>
      </x:c>
      <x:c r="M123" s="48" t="b">
        <x:v>1</x:v>
      </x:c>
      <x:c r="N123" t="str"/>
      <x:c r="O123" t="str">
        <x:v>benchmark/results/images/google/ab9f43fe_CC-02.png</x:v>
      </x:c>
      <x:c r="P123" t="n">
        <x:v>46281.70719677083</x:v>
      </x:c>
    </x:row>
    <x:row r="124">
      <x:c r="A124" t="str">
        <x:v>benchmark_results (3).csv</x:v>
      </x:c>
      <x:c r="B124" t="str">
        <x:v>Commercial</x:v>
      </x:c>
      <x:c r="C124" t="str">
        <x:v>Google</x:v>
      </x:c>
      <x:c r="D124" t="str">
        <x:v>Gemini 3.1 Flash Image</x:v>
      </x:c>
      <x:c r="E124" t="str">
        <x:v>ab9f43fe-024f-44d9-8c1e-faba39ccf634</x:v>
      </x:c>
      <x:c r="F124" t="str">
        <x:v>CC-03</x:v>
      </x:c>
      <x:c r="G124" t="str">
        <x:v>complex_compositions</x:v>
      </x:c>
      <x:c r="H124" t="n">
        <x:v>1024</x:v>
      </x:c>
      <x:c r="I124" t="n">
        <x:v>1024</x:v>
      </x:c>
      <x:c r="J124" s="34" t="n">
        <x:v>9.125</x:v>
      </x:c>
      <x:c r="K124" s="36"/>
      <x:c r="L124" s="38" t="n">
        <x:v>0.067</x:v>
      </x:c>
      <x:c r="M124" s="48" t="b">
        <x:v>1</x:v>
      </x:c>
      <x:c r="N124" t="str"/>
      <x:c r="O124" t="str">
        <x:v>benchmark/results/images/google/ab9f43fe_CC-03.png</x:v>
      </x:c>
      <x:c r="P124" t="n">
        <x:v>46281.7073028588</x:v>
      </x:c>
    </x:row>
    <x:row r="125">
      <x:c r="A125" t="str">
        <x:v>benchmark_results (3).csv</x:v>
      </x:c>
      <x:c r="B125" t="str">
        <x:v>Commercial</x:v>
      </x:c>
      <x:c r="C125" t="str">
        <x:v>Google</x:v>
      </x:c>
      <x:c r="D125" t="str">
        <x:v>Gemini 3.1 Flash Image</x:v>
      </x:c>
      <x:c r="E125" t="str">
        <x:v>ab9f43fe-024f-44d9-8c1e-faba39ccf634</x:v>
      </x:c>
      <x:c r="F125" t="str">
        <x:v>CC-04</x:v>
      </x:c>
      <x:c r="G125" t="str">
        <x:v>complex_compositions</x:v>
      </x:c>
      <x:c r="H125" t="n">
        <x:v>1024</x:v>
      </x:c>
      <x:c r="I125" t="n">
        <x:v>1024</x:v>
      </x:c>
      <x:c r="J125" s="34" t="n">
        <x:v>9.104</x:v>
      </x:c>
      <x:c r="K125" s="36"/>
      <x:c r="L125" s="38" t="n">
        <x:v>0.067</x:v>
      </x:c>
      <x:c r="M125" s="48" t="b">
        <x:v>1</x:v>
      </x:c>
      <x:c r="N125" t="str"/>
      <x:c r="O125" t="str">
        <x:v>benchmark/results/images/google/ab9f43fe_CC-04.png</x:v>
      </x:c>
      <x:c r="P125" t="n">
        <x:v>46281.7074087037</x:v>
      </x:c>
    </x:row>
    <x:row r="126">
      <x:c r="A126" t="str">
        <x:v>benchmark_results (3).csv</x:v>
      </x:c>
      <x:c r="B126" t="str">
        <x:v>Commercial</x:v>
      </x:c>
      <x:c r="C126" t="str">
        <x:v>Google</x:v>
      </x:c>
      <x:c r="D126" t="str">
        <x:v>Gemini 3.1 Flash Image</x:v>
      </x:c>
      <x:c r="E126" t="str">
        <x:v>ab9f43fe-024f-44d9-8c1e-faba39ccf634</x:v>
      </x:c>
      <x:c r="F126" t="str">
        <x:v>CC-05</x:v>
      </x:c>
      <x:c r="G126" t="str">
        <x:v>complex_compositions</x:v>
      </x:c>
      <x:c r="H126" t="n">
        <x:v>1024</x:v>
      </x:c>
      <x:c r="I126" t="n">
        <x:v>1024</x:v>
      </x:c>
      <x:c r="J126" s="34" t="n">
        <x:v>9.699</x:v>
      </x:c>
      <x:c r="K126" s="36"/>
      <x:c r="L126" s="38" t="n">
        <x:v>0.067</x:v>
      </x:c>
      <x:c r="M126" s="48" t="b">
        <x:v>1</x:v>
      </x:c>
      <x:c r="N126" t="str"/>
      <x:c r="O126" t="str">
        <x:v>benchmark/results/images/google/ab9f43fe_CC-05.png</x:v>
      </x:c>
      <x:c r="P126" t="n">
        <x:v>46281.70752144676</x:v>
      </x:c>
    </x:row>
  </x:sheetData>
  <x:pageMargins left="0.7" right="0.7" top="0.75" bottom="0.75" header="0.3" footer="0.3"/>
  <x:tableParts count="1">
    <x:tablePart xmlns:r="http://schemas.openxmlformats.org/officeDocument/2006/relationships" r:id="R489cbc8cb6a046a4"/>
  </x:tableParts>
</x:worksheet>
</file>

<file path=xl/worksheets/sheet4.xml><?xml version="1.0" encoding="utf-8"?>
<x:worksheet xmlns:x="http://schemas.openxmlformats.org/spreadsheetml/2006/main">
  <x:sheetFormatPr defaultRowHeight="15"/>
  <x:cols>
    <x:col min="1" max="1" width="30" hidden="0" customWidth="1"/>
    <x:col min="2" max="2" width="28" hidden="0" customWidth="1"/>
    <x:col min="3" max="3" width="28" hidden="0" customWidth="1"/>
    <x:col min="4" max="4" width="28" hidden="0" customWidth="1"/>
  </x:cols>
  <x:sheetData>
    <x:row r="1" ht="22" customHeight="1">
      <x:c r="A1" s="4" t="str">
        <x:v>Benchmark analysis inputs</x:v>
      </x:c>
      <x:c r="B1" s="4"/>
      <x:c r="C1" s="4"/>
      <x:c r="D1" s="4"/>
    </x:row>
    <x:row r="2" ht="22" customHeight="1"/>
    <x:row r="3" ht="22" customHeight="1">
      <x:c r="A3" s="12" t="str">
        <x:v>Input</x:v>
      </x:c>
      <x:c r="B3" s="12" t="str">
        <x:v>Value</x:v>
      </x:c>
    </x:row>
    <x:row r="4" ht="22" customHeight="1">
      <x:c r="A4" t="str">
        <x:v>RTX A6000 hourly cost (USD/hour)</x:v>
      </x:c>
      <x:c r="B4"/>
    </x:row>
    <x:row r="5" ht="22" customHeight="1">
      <x:c r="A5" t="str">
        <x:v>Purpose</x:v>
      </x:c>
      <x:c r="B5" t="str">
        <x:v>Enter the actual GPU hourly cost to calculate self-hosted cost/image and 25-image cost.</x:v>
      </x:c>
    </x:row>
    <x:row r="6" ht="22" customHeight="1"/>
    <x:row r="7" ht="22" customHeight="1">
      <x:c r="A7" s="19" t="str">
        <x:v>Analysis notes</x:v>
      </x:c>
      <x:c r="B7" s="19" t="str"/>
      <x:c r="C7" s="19" t="str"/>
      <x:c r="D7" s="19" t="str"/>
    </x:row>
    <x:row r="8" ht="22" customHeight="1">
      <x:c r="A8" s="24" t="str">
        <x:v>Resolution caveat</x:v>
      </x:c>
      <x:c r="B8" s="22" t="str">
        <x:v>Open-source models were benchmarked at 512×512; commercial models were benchmarked at 1024×1024. Observed latency should not be treated as a like-for-like speed comparison.</x:v>
      </x:c>
      <x:c r="C8" s="22" t="str"/>
      <x:c r="D8" s="22" t="str"/>
    </x:row>
    <x:row r="9" ht="22" customHeight="1">
      <x:c r="A9" s="24" t="str">
        <x:v>Reliability</x:v>
      </x:c>
      <x:c r="B9" s="22" t="str">
        <x:v>All 125 benchmark rows in the supplied files report success=True; no failures are recorded.</x:v>
      </x:c>
      <x:c r="C9" s="22" t="str"/>
      <x:c r="D9" s="22" t="str"/>
    </x:row>
    <x:row r="10" ht="22" customHeight="1">
      <x:c r="A10" s="24" t="str">
        <x:v>Cost</x:v>
      </x:c>
      <x:c r="B10" s="22" t="str">
        <x:v>Commercial cost comes directly from the benchmark CSV. Open-source cost requires the actual GPU hourly cost.</x:v>
      </x:c>
      <x:c r="C10" s="22" t="str"/>
      <x:c r="D10" s="22" t="str"/>
    </x:row>
  </x:sheetData>
  <x:mergeCells>
    <x:mergeCell ref="A1:D1"/>
    <x:mergeCell ref="A7:D7"/>
    <x:mergeCell ref="B8:D8"/>
    <x:mergeCell ref="B9:D9"/>
    <x:mergeCell ref="B10:D10"/>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1" hidden="0" customWidth="1"/>
    <x:col min="3" max="3" width="24" hidden="0" customWidth="1"/>
    <x:col min="4" max="4" width="25" hidden="0" customWidth="1"/>
    <x:col min="5" max="5" width="12" hidden="0" customWidth="1"/>
    <x:col min="6" max="6" width="10" hidden="0" customWidth="1"/>
    <x:col min="7" max="7" width="10" hidden="0" customWidth="1"/>
    <x:col min="8" max="8" width="29" hidden="0" customWidth="1"/>
    <x:col min="9" max="9" width="60" hidden="0" customWidth="1"/>
    <x:col min="10" max="10" width="55" hidden="0" customWidth="1"/>
  </x:cols>
  <x:sheetData>
    <x:row r="1">
      <x:c r="A1" s="57" t="str">
        <x:v>evaluator_id</x:v>
      </x:c>
      <x:c r="B1" s="57" t="str">
        <x:v>prompt_id</x:v>
      </x:c>
      <x:c r="C1" s="57" t="str">
        <x:v>category</x:v>
      </x:c>
      <x:c r="D1" s="57" t="str">
        <x:v>model</x:v>
      </x:c>
      <x:c r="E1" s="57" t="str">
        <x:v>blind_label</x:v>
      </x:c>
      <x:c r="F1" s="57" t="str">
        <x:v>rank</x:v>
      </x:c>
      <x:c r="G1" s="57" t="str">
        <x:v>points</x:v>
      </x:c>
      <x:c r="H1" s="57" t="str">
        <x:v>timestamp</x:v>
      </x:c>
      <x:c r="I1" s="57" t="str">
        <x:v>prompt</x:v>
      </x:c>
      <x:c r="J1" s="57" t="str">
        <x:v>image_path</x:v>
      </x:c>
    </x:row>
    <x:row r="2">
      <x:c r="A2" t="str">
        <x:v>E01</x:v>
      </x:c>
      <x:c r="B2" t="str">
        <x:v>PL-01</x:v>
      </x:c>
      <x:c r="C2" t="str">
        <x:v>People &amp; lifestyle</x:v>
      </x:c>
      <x:c r="D2" t="str">
        <x:v>GPT Image 2</x:v>
      </x:c>
      <x:c r="E2" t="str">
        <x:v>A</x:v>
      </x:c>
      <x:c r="F2" t="n">
        <x:v>5</x:v>
      </x:c>
      <x:c r="G2" t="n">
        <x:v>1</x:v>
      </x:c>
      <x:c r="H2" t="n">
        <x:v>46292.26273491898</x:v>
      </x:c>
      <x:c r="I2"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2" t="str">
        <x:v>benchmark/results/images/openai/4229ba19_PL-01.png</x:v>
      </x:c>
    </x:row>
    <x:row r="3">
      <x:c r="A3" t="str">
        <x:v>E01</x:v>
      </x:c>
      <x:c r="B3" t="str">
        <x:v>PL-01</x:v>
      </x:c>
      <x:c r="C3" t="str">
        <x:v>People &amp; lifestyle</x:v>
      </x:c>
      <x:c r="D3" t="str">
        <x:v>FLUX.2 Klein 4B</x:v>
      </x:c>
      <x:c r="E3" t="str">
        <x:v>B</x:v>
      </x:c>
      <x:c r="F3" t="n">
        <x:v>3</x:v>
      </x:c>
      <x:c r="G3" t="n">
        <x:v>3</x:v>
      </x:c>
      <x:c r="H3" t="n">
        <x:v>46292.26273491898</x:v>
      </x:c>
      <x:c r="I3"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3" t="str">
        <x:v>benchmark/results/open_source/flux2-klein/q4_k_m/512/images/2a0777a6_PL-01.png</x:v>
      </x:c>
    </x:row>
    <x:row r="4">
      <x:c r="A4" t="str">
        <x:v>E01</x:v>
      </x:c>
      <x:c r="B4" t="str">
        <x:v>PL-01</x:v>
      </x:c>
      <x:c r="C4" t="str">
        <x:v>People &amp; lifestyle</x:v>
      </x:c>
      <x:c r="D4" t="str">
        <x:v>Gemini 3.1 Flash Image</x:v>
      </x:c>
      <x:c r="E4" t="str">
        <x:v>C</x:v>
      </x:c>
      <x:c r="F4" t="n">
        <x:v>4</x:v>
      </x:c>
      <x:c r="G4" t="n">
        <x:v>2</x:v>
      </x:c>
      <x:c r="H4" t="n">
        <x:v>46292.26273491898</x:v>
      </x:c>
      <x:c r="I4"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4" t="str">
        <x:v>benchmark/results/images/google/ab9f43fe_PL-01.png</x:v>
      </x:c>
    </x:row>
    <x:row r="5">
      <x:c r="A5" t="str">
        <x:v>E01</x:v>
      </x:c>
      <x:c r="B5" t="str">
        <x:v>PL-01</x:v>
      </x:c>
      <x:c r="C5" t="str">
        <x:v>People &amp; lifestyle</x:v>
      </x:c>
      <x:c r="D5" t="str">
        <x:v>Z-Image Turbo</x:v>
      </x:c>
      <x:c r="E5" t="str">
        <x:v>D</x:v>
      </x:c>
      <x:c r="F5" t="n">
        <x:v>1</x:v>
      </x:c>
      <x:c r="G5" t="n">
        <x:v>5</x:v>
      </x:c>
      <x:c r="H5" t="n">
        <x:v>46292.26273491898</x:v>
      </x:c>
      <x:c r="I5"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5" t="str">
        <x:v>benchmark/results/open_source/z-image-turbo/w4/512/images/PL-01.png</x:v>
      </x:c>
    </x:row>
    <x:row r="6">
      <x:c r="A6" t="str">
        <x:v>E01</x:v>
      </x:c>
      <x:c r="B6" t="str">
        <x:v>PL-01</x:v>
      </x:c>
      <x:c r="C6" t="str">
        <x:v>People &amp; lifestyle</x:v>
      </x:c>
      <x:c r="D6" t="str">
        <x:v>FLUX 2 Pro</x:v>
      </x:c>
      <x:c r="E6" t="str">
        <x:v>E</x:v>
      </x:c>
      <x:c r="F6" t="n">
        <x:v>2</x:v>
      </x:c>
      <x:c r="G6" t="n">
        <x:v>4</x:v>
      </x:c>
      <x:c r="H6" t="n">
        <x:v>46292.26273491898</x:v>
      </x:c>
      <x:c r="I6"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6" t="str">
        <x:v>benchmark/results/images/bfl/4229ba19_PL-01.png</x:v>
      </x:c>
    </x:row>
    <x:row r="7">
      <x:c r="A7" t="str">
        <x:v>E01</x:v>
      </x:c>
      <x:c r="B7" t="str">
        <x:v>PL-02</x:v>
      </x:c>
      <x:c r="C7" t="str">
        <x:v>People &amp; lifestyle</x:v>
      </x:c>
      <x:c r="D7" t="str">
        <x:v>Z-Image Turbo</x:v>
      </x:c>
      <x:c r="E7" t="str">
        <x:v>A</x:v>
      </x:c>
      <x:c r="F7" t="n">
        <x:v>4</x:v>
      </x:c>
      <x:c r="G7" t="n">
        <x:v>2</x:v>
      </x:c>
      <x:c r="H7" t="n">
        <x:v>46292.263869953706</x:v>
      </x:c>
      <x:c r="I7"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7" t="str">
        <x:v>benchmark/results/open_source/z-image-turbo/w4/512/images/PL-02.png</x:v>
      </x:c>
    </x:row>
    <x:row r="8">
      <x:c r="A8" t="str">
        <x:v>E01</x:v>
      </x:c>
      <x:c r="B8" t="str">
        <x:v>PL-02</x:v>
      </x:c>
      <x:c r="C8" t="str">
        <x:v>People &amp; lifestyle</x:v>
      </x:c>
      <x:c r="D8" t="str">
        <x:v>Gemini 3.1 Flash Image</x:v>
      </x:c>
      <x:c r="E8" t="str">
        <x:v>B</x:v>
      </x:c>
      <x:c r="F8" t="n">
        <x:v>3</x:v>
      </x:c>
      <x:c r="G8" t="n">
        <x:v>3</x:v>
      </x:c>
      <x:c r="H8" t="n">
        <x:v>46292.263869953706</x:v>
      </x:c>
      <x:c r="I8"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8" t="str">
        <x:v>benchmark/results/images/google/ab9f43fe_PL-02.png</x:v>
      </x:c>
    </x:row>
    <x:row r="9">
      <x:c r="A9" t="str">
        <x:v>E01</x:v>
      </x:c>
      <x:c r="B9" t="str">
        <x:v>PL-02</x:v>
      </x:c>
      <x:c r="C9" t="str">
        <x:v>People &amp; lifestyle</x:v>
      </x:c>
      <x:c r="D9" t="str">
        <x:v>FLUX 2 Pro</x:v>
      </x:c>
      <x:c r="E9" t="str">
        <x:v>C</x:v>
      </x:c>
      <x:c r="F9" t="n">
        <x:v>2</x:v>
      </x:c>
      <x:c r="G9" t="n">
        <x:v>4</x:v>
      </x:c>
      <x:c r="H9" t="n">
        <x:v>46292.263869953706</x:v>
      </x:c>
      <x:c r="I9"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9" t="str">
        <x:v>benchmark/results/images/bfl/4229ba19_PL-02.png</x:v>
      </x:c>
    </x:row>
    <x:row r="10">
      <x:c r="A10" t="str">
        <x:v>E01</x:v>
      </x:c>
      <x:c r="B10" t="str">
        <x:v>PL-02</x:v>
      </x:c>
      <x:c r="C10" t="str">
        <x:v>People &amp; lifestyle</x:v>
      </x:c>
      <x:c r="D10" t="str">
        <x:v>GPT Image 2</x:v>
      </x:c>
      <x:c r="E10" t="str">
        <x:v>D</x:v>
      </x:c>
      <x:c r="F10" t="n">
        <x:v>1</x:v>
      </x:c>
      <x:c r="G10" t="n">
        <x:v>5</x:v>
      </x:c>
      <x:c r="H10" t="n">
        <x:v>46292.263869953706</x:v>
      </x:c>
      <x:c r="I10"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10" t="str">
        <x:v>benchmark/results/images/openai/4229ba19_PL-02.png</x:v>
      </x:c>
    </x:row>
    <x:row r="11">
      <x:c r="A11" t="str">
        <x:v>E01</x:v>
      </x:c>
      <x:c r="B11" t="str">
        <x:v>PL-02</x:v>
      </x:c>
      <x:c r="C11" t="str">
        <x:v>People &amp; lifestyle</x:v>
      </x:c>
      <x:c r="D11" t="str">
        <x:v>FLUX.2 Klein 4B</x:v>
      </x:c>
      <x:c r="E11" t="str">
        <x:v>E</x:v>
      </x:c>
      <x:c r="F11" t="n">
        <x:v>5</x:v>
      </x:c>
      <x:c r="G11" t="n">
        <x:v>1</x:v>
      </x:c>
      <x:c r="H11" t="n">
        <x:v>46292.263869953706</x:v>
      </x:c>
      <x:c r="I11"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11" t="str">
        <x:v>benchmark/results/open_source/flux2-klein/q4_k_m/512/images/2a0777a6_PL-02.png</x:v>
      </x:c>
    </x:row>
    <x:row r="12">
      <x:c r="A12" t="str">
        <x:v>E01</x:v>
      </x:c>
      <x:c r="B12" t="str">
        <x:v>PL-03</x:v>
      </x:c>
      <x:c r="C12" t="str">
        <x:v>People &amp; lifestyle</x:v>
      </x:c>
      <x:c r="D12" t="str">
        <x:v>GPT Image 2</x:v>
      </x:c>
      <x:c r="E12" t="str">
        <x:v>A</x:v>
      </x:c>
      <x:c r="F12" t="n">
        <x:v>2</x:v>
      </x:c>
      <x:c r="G12" t="n">
        <x:v>4</x:v>
      </x:c>
      <x:c r="H12" t="n">
        <x:v>46292.26492710648</x:v>
      </x:c>
      <x:c r="I12"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2" t="str">
        <x:v>benchmark/results/images/openai/4229ba19_PL-03.png</x:v>
      </x:c>
    </x:row>
    <x:row r="13">
      <x:c r="A13" t="str">
        <x:v>E01</x:v>
      </x:c>
      <x:c r="B13" t="str">
        <x:v>PL-03</x:v>
      </x:c>
      <x:c r="C13" t="str">
        <x:v>People &amp; lifestyle</x:v>
      </x:c>
      <x:c r="D13" t="str">
        <x:v>Z-Image Turbo</x:v>
      </x:c>
      <x:c r="E13" t="str">
        <x:v>B</x:v>
      </x:c>
      <x:c r="F13" t="n">
        <x:v>5</x:v>
      </x:c>
      <x:c r="G13" t="n">
        <x:v>1</x:v>
      </x:c>
      <x:c r="H13" t="n">
        <x:v>46292.26492710648</x:v>
      </x:c>
      <x:c r="I13"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3" t="str">
        <x:v>benchmark/results/open_source/z-image-turbo/w4/512/images/PL-03.png</x:v>
      </x:c>
    </x:row>
    <x:row r="14">
      <x:c r="A14" t="str">
        <x:v>E01</x:v>
      </x:c>
      <x:c r="B14" t="str">
        <x:v>PL-03</x:v>
      </x:c>
      <x:c r="C14" t="str">
        <x:v>People &amp; lifestyle</x:v>
      </x:c>
      <x:c r="D14" t="str">
        <x:v>FLUX 2 Pro</x:v>
      </x:c>
      <x:c r="E14" t="str">
        <x:v>C</x:v>
      </x:c>
      <x:c r="F14" t="n">
        <x:v>4</x:v>
      </x:c>
      <x:c r="G14" t="n">
        <x:v>2</x:v>
      </x:c>
      <x:c r="H14" t="n">
        <x:v>46292.26492710648</x:v>
      </x:c>
      <x:c r="I14"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4" t="str">
        <x:v>benchmark/results/images/bfl/4229ba19_PL-03.png</x:v>
      </x:c>
    </x:row>
    <x:row r="15">
      <x:c r="A15" t="str">
        <x:v>E01</x:v>
      </x:c>
      <x:c r="B15" t="str">
        <x:v>PL-03</x:v>
      </x:c>
      <x:c r="C15" t="str">
        <x:v>People &amp; lifestyle</x:v>
      </x:c>
      <x:c r="D15" t="str">
        <x:v>FLUX.2 Klein 4B</x:v>
      </x:c>
      <x:c r="E15" t="str">
        <x:v>D</x:v>
      </x:c>
      <x:c r="F15" t="n">
        <x:v>3</x:v>
      </x:c>
      <x:c r="G15" t="n">
        <x:v>3</x:v>
      </x:c>
      <x:c r="H15" t="n">
        <x:v>46292.26492710648</x:v>
      </x:c>
      <x:c r="I15"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5" t="str">
        <x:v>benchmark/results/open_source/flux2-klein/q4_k_m/512/images/2a0777a6_PL-03.png</x:v>
      </x:c>
    </x:row>
    <x:row r="16">
      <x:c r="A16" t="str">
        <x:v>E01</x:v>
      </x:c>
      <x:c r="B16" t="str">
        <x:v>PL-03</x:v>
      </x:c>
      <x:c r="C16" t="str">
        <x:v>People &amp; lifestyle</x:v>
      </x:c>
      <x:c r="D16" t="str">
        <x:v>Gemini 3.1 Flash Image</x:v>
      </x:c>
      <x:c r="E16" t="str">
        <x:v>E</x:v>
      </x:c>
      <x:c r="F16" t="n">
        <x:v>1</x:v>
      </x:c>
      <x:c r="G16" t="n">
        <x:v>5</x:v>
      </x:c>
      <x:c r="H16" t="n">
        <x:v>46292.26492710648</x:v>
      </x:c>
      <x:c r="I16"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6" t="str">
        <x:v>benchmark/results/images/google/ab9f43fe_PL-03.png</x:v>
      </x:c>
    </x:row>
    <x:row r="17">
      <x:c r="A17" t="str">
        <x:v>E01</x:v>
      </x:c>
      <x:c r="B17" t="str">
        <x:v>PL-04</x:v>
      </x:c>
      <x:c r="C17" t="str">
        <x:v>People &amp; lifestyle</x:v>
      </x:c>
      <x:c r="D17" t="str">
        <x:v>Z-Image Turbo</x:v>
      </x:c>
      <x:c r="E17" t="str">
        <x:v>A</x:v>
      </x:c>
      <x:c r="F17" t="n">
        <x:v>3</x:v>
      </x:c>
      <x:c r="G17" t="n">
        <x:v>3</x:v>
      </x:c>
      <x:c r="H17" t="n">
        <x:v>46292.26540981481</x:v>
      </x:c>
      <x:c r="I17"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17" t="str">
        <x:v>benchmark/results/open_source/z-image-turbo/w4/512/images/PL-04.png</x:v>
      </x:c>
    </x:row>
    <x:row r="18">
      <x:c r="A18" t="str">
        <x:v>E01</x:v>
      </x:c>
      <x:c r="B18" t="str">
        <x:v>PL-04</x:v>
      </x:c>
      <x:c r="C18" t="str">
        <x:v>People &amp; lifestyle</x:v>
      </x:c>
      <x:c r="D18" t="str">
        <x:v>GPT Image 2</x:v>
      </x:c>
      <x:c r="E18" t="str">
        <x:v>B</x:v>
      </x:c>
      <x:c r="F18" t="n">
        <x:v>1</x:v>
      </x:c>
      <x:c r="G18" t="n">
        <x:v>5</x:v>
      </x:c>
      <x:c r="H18" t="n">
        <x:v>46292.26540981481</x:v>
      </x:c>
      <x:c r="I18"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18" t="str">
        <x:v>benchmark/results/images/openai/4229ba19_PL-04.png</x:v>
      </x:c>
    </x:row>
    <x:row r="19">
      <x:c r="A19" t="str">
        <x:v>E01</x:v>
      </x:c>
      <x:c r="B19" t="str">
        <x:v>PL-04</x:v>
      </x:c>
      <x:c r="C19" t="str">
        <x:v>People &amp; lifestyle</x:v>
      </x:c>
      <x:c r="D19" t="str">
        <x:v>FLUX 2 Pro</x:v>
      </x:c>
      <x:c r="E19" t="str">
        <x:v>C</x:v>
      </x:c>
      <x:c r="F19" t="n">
        <x:v>2</x:v>
      </x:c>
      <x:c r="G19" t="n">
        <x:v>4</x:v>
      </x:c>
      <x:c r="H19" t="n">
        <x:v>46292.26540981481</x:v>
      </x:c>
      <x:c r="I19"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19" t="str">
        <x:v>benchmark/results/images/bfl/4229ba19_PL-04.png</x:v>
      </x:c>
    </x:row>
    <x:row r="20">
      <x:c r="A20" t="str">
        <x:v>E01</x:v>
      </x:c>
      <x:c r="B20" t="str">
        <x:v>PL-04</x:v>
      </x:c>
      <x:c r="C20" t="str">
        <x:v>People &amp; lifestyle</x:v>
      </x:c>
      <x:c r="D20" t="str">
        <x:v>FLUX.2 Klein 4B</x:v>
      </x:c>
      <x:c r="E20" t="str">
        <x:v>D</x:v>
      </x:c>
      <x:c r="F20" t="n">
        <x:v>5</x:v>
      </x:c>
      <x:c r="G20" t="n">
        <x:v>1</x:v>
      </x:c>
      <x:c r="H20" t="n">
        <x:v>46292.26540981481</x:v>
      </x:c>
      <x:c r="I20"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20" t="str">
        <x:v>benchmark/results/open_source/flux2-klein/q4_k_m/512/images/2a0777a6_PL-04.png</x:v>
      </x:c>
    </x:row>
    <x:row r="21">
      <x:c r="A21" t="str">
        <x:v>E01</x:v>
      </x:c>
      <x:c r="B21" t="str">
        <x:v>PL-04</x:v>
      </x:c>
      <x:c r="C21" t="str">
        <x:v>People &amp; lifestyle</x:v>
      </x:c>
      <x:c r="D21" t="str">
        <x:v>Gemini 3.1 Flash Image</x:v>
      </x:c>
      <x:c r="E21" t="str">
        <x:v>E</x:v>
      </x:c>
      <x:c r="F21" t="n">
        <x:v>4</x:v>
      </x:c>
      <x:c r="G21" t="n">
        <x:v>2</x:v>
      </x:c>
      <x:c r="H21" t="n">
        <x:v>46292.26540981481</x:v>
      </x:c>
      <x:c r="I21"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21" t="str">
        <x:v>benchmark/results/images/google/ab9f43fe_PL-04.png</x:v>
      </x:c>
    </x:row>
    <x:row r="22">
      <x:c r="A22" t="str">
        <x:v>E01</x:v>
      </x:c>
      <x:c r="B22" t="str">
        <x:v>PL-05</x:v>
      </x:c>
      <x:c r="C22" t="str">
        <x:v>People &amp; lifestyle</x:v>
      </x:c>
      <x:c r="D22" t="str">
        <x:v>Gemini 3.1 Flash Image</x:v>
      </x:c>
      <x:c r="E22" t="str">
        <x:v>A</x:v>
      </x:c>
      <x:c r="F22" t="n">
        <x:v>1</x:v>
      </x:c>
      <x:c r="G22" t="n">
        <x:v>5</x:v>
      </x:c>
      <x:c r="H22" t="n">
        <x:v>46292.26586896991</x:v>
      </x:c>
      <x:c r="I22"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2" t="str">
        <x:v>benchmark/results/images/google/ab9f43fe_PL-05.png</x:v>
      </x:c>
    </x:row>
    <x:row r="23">
      <x:c r="A23" t="str">
        <x:v>E01</x:v>
      </x:c>
      <x:c r="B23" t="str">
        <x:v>PL-05</x:v>
      </x:c>
      <x:c r="C23" t="str">
        <x:v>People &amp; lifestyle</x:v>
      </x:c>
      <x:c r="D23" t="str">
        <x:v>Z-Image Turbo</x:v>
      </x:c>
      <x:c r="E23" t="str">
        <x:v>B</x:v>
      </x:c>
      <x:c r="F23" t="n">
        <x:v>3</x:v>
      </x:c>
      <x:c r="G23" t="n">
        <x:v>3</x:v>
      </x:c>
      <x:c r="H23" t="n">
        <x:v>46292.26586896991</x:v>
      </x:c>
      <x:c r="I23"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3" t="str">
        <x:v>benchmark/results/open_source/z-image-turbo/w4/512/images/PL-05.png</x:v>
      </x:c>
    </x:row>
    <x:row r="24">
      <x:c r="A24" t="str">
        <x:v>E01</x:v>
      </x:c>
      <x:c r="B24" t="str">
        <x:v>PL-05</x:v>
      </x:c>
      <x:c r="C24" t="str">
        <x:v>People &amp; lifestyle</x:v>
      </x:c>
      <x:c r="D24" t="str">
        <x:v>FLUX 2 Pro</x:v>
      </x:c>
      <x:c r="E24" t="str">
        <x:v>C</x:v>
      </x:c>
      <x:c r="F24" t="n">
        <x:v>2</x:v>
      </x:c>
      <x:c r="G24" t="n">
        <x:v>4</x:v>
      </x:c>
      <x:c r="H24" t="n">
        <x:v>46292.26586896991</x:v>
      </x:c>
      <x:c r="I24"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4" t="str">
        <x:v>benchmark/results/images/bfl/4229ba19_PL-05.png</x:v>
      </x:c>
    </x:row>
    <x:row r="25">
      <x:c r="A25" t="str">
        <x:v>E01</x:v>
      </x:c>
      <x:c r="B25" t="str">
        <x:v>PL-05</x:v>
      </x:c>
      <x:c r="C25" t="str">
        <x:v>People &amp; lifestyle</x:v>
      </x:c>
      <x:c r="D25" t="str">
        <x:v>FLUX.2 Klein 4B</x:v>
      </x:c>
      <x:c r="E25" t="str">
        <x:v>D</x:v>
      </x:c>
      <x:c r="F25" t="n">
        <x:v>5</x:v>
      </x:c>
      <x:c r="G25" t="n">
        <x:v>1</x:v>
      </x:c>
      <x:c r="H25" t="n">
        <x:v>46292.26586896991</x:v>
      </x:c>
      <x:c r="I25"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5" t="str">
        <x:v>benchmark/results/open_source/flux2-klein/q4_k_m/512/images/2a0777a6_PL-05.png</x:v>
      </x:c>
    </x:row>
    <x:row r="26">
      <x:c r="A26" t="str">
        <x:v>E01</x:v>
      </x:c>
      <x:c r="B26" t="str">
        <x:v>PL-05</x:v>
      </x:c>
      <x:c r="C26" t="str">
        <x:v>People &amp; lifestyle</x:v>
      </x:c>
      <x:c r="D26" t="str">
        <x:v>GPT Image 2</x:v>
      </x:c>
      <x:c r="E26" t="str">
        <x:v>E</x:v>
      </x:c>
      <x:c r="F26" t="n">
        <x:v>4</x:v>
      </x:c>
      <x:c r="G26" t="n">
        <x:v>2</x:v>
      </x:c>
      <x:c r="H26" t="n">
        <x:v>46292.26586896991</x:v>
      </x:c>
      <x:c r="I26"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6" t="str">
        <x:v>benchmark/results/images/openai/4229ba19_PL-05.png</x:v>
      </x:c>
    </x:row>
    <x:row r="27">
      <x:c r="A27" t="str">
        <x:v>E01</x:v>
      </x:c>
      <x:c r="B27" t="str">
        <x:v>TT-01</x:v>
      </x:c>
      <x:c r="C27" t="str">
        <x:v>Text &amp; typography</x:v>
      </x:c>
      <x:c r="D27" t="str">
        <x:v>Gemini 3.1 Flash Image</x:v>
      </x:c>
      <x:c r="E27" t="str">
        <x:v>A</x:v>
      </x:c>
      <x:c r="F27" t="n">
        <x:v>2</x:v>
      </x:c>
      <x:c r="G27" t="n">
        <x:v>4</x:v>
      </x:c>
      <x:c r="H27" t="n">
        <x:v>46292.26728341435</x:v>
      </x:c>
      <x:c r="I27"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27" t="str">
        <x:v>benchmark/results/images/google/ab9f43fe_TT-01.png</x:v>
      </x:c>
    </x:row>
    <x:row r="28">
      <x:c r="A28" t="str">
        <x:v>E01</x:v>
      </x:c>
      <x:c r="B28" t="str">
        <x:v>TT-01</x:v>
      </x:c>
      <x:c r="C28" t="str">
        <x:v>Text &amp; typography</x:v>
      </x:c>
      <x:c r="D28" t="str">
        <x:v>FLUX.2 Klein 4B</x:v>
      </x:c>
      <x:c r="E28" t="str">
        <x:v>B</x:v>
      </x:c>
      <x:c r="F28" t="n">
        <x:v>4</x:v>
      </x:c>
      <x:c r="G28" t="n">
        <x:v>2</x:v>
      </x:c>
      <x:c r="H28" t="n">
        <x:v>46292.26728341435</x:v>
      </x:c>
      <x:c r="I28"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28" t="str">
        <x:v>benchmark/results/open_source/flux2-klein/q4_k_m/512/images/2a0777a6_TT-01.png</x:v>
      </x:c>
    </x:row>
    <x:row r="29">
      <x:c r="A29" t="str">
        <x:v>E01</x:v>
      </x:c>
      <x:c r="B29" t="str">
        <x:v>TT-01</x:v>
      </x:c>
      <x:c r="C29" t="str">
        <x:v>Text &amp; typography</x:v>
      </x:c>
      <x:c r="D29" t="str">
        <x:v>Z-Image Turbo</x:v>
      </x:c>
      <x:c r="E29" t="str">
        <x:v>C</x:v>
      </x:c>
      <x:c r="F29" t="n">
        <x:v>5</x:v>
      </x:c>
      <x:c r="G29" t="n">
        <x:v>1</x:v>
      </x:c>
      <x:c r="H29" t="n">
        <x:v>46292.26728341435</x:v>
      </x:c>
      <x:c r="I29"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29" t="str">
        <x:v>benchmark/results/open_source/z-image-turbo/w4/512/images/TT-01.png</x:v>
      </x:c>
    </x:row>
    <x:row r="30">
      <x:c r="A30" t="str">
        <x:v>E01</x:v>
      </x:c>
      <x:c r="B30" t="str">
        <x:v>TT-01</x:v>
      </x:c>
      <x:c r="C30" t="str">
        <x:v>Text &amp; typography</x:v>
      </x:c>
      <x:c r="D30" t="str">
        <x:v>GPT Image 2</x:v>
      </x:c>
      <x:c r="E30" t="str">
        <x:v>D</x:v>
      </x:c>
      <x:c r="F30" t="n">
        <x:v>1</x:v>
      </x:c>
      <x:c r="G30" t="n">
        <x:v>5</x:v>
      </x:c>
      <x:c r="H30" t="n">
        <x:v>46292.26728341435</x:v>
      </x:c>
      <x:c r="I30"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30" t="str">
        <x:v>benchmark/results/images/openai/4229ba19_TT-01.png</x:v>
      </x:c>
    </x:row>
    <x:row r="31">
      <x:c r="A31" t="str">
        <x:v>E01</x:v>
      </x:c>
      <x:c r="B31" t="str">
        <x:v>TT-01</x:v>
      </x:c>
      <x:c r="C31" t="str">
        <x:v>Text &amp; typography</x:v>
      </x:c>
      <x:c r="D31" t="str">
        <x:v>FLUX 2 Pro</x:v>
      </x:c>
      <x:c r="E31" t="str">
        <x:v>E</x:v>
      </x:c>
      <x:c r="F31" t="n">
        <x:v>3</x:v>
      </x:c>
      <x:c r="G31" t="n">
        <x:v>3</x:v>
      </x:c>
      <x:c r="H31" t="n">
        <x:v>46292.26728341435</x:v>
      </x:c>
      <x:c r="I31"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31" t="str">
        <x:v>benchmark/results/images/bfl/4229ba19_TT-01.png</x:v>
      </x:c>
    </x:row>
    <x:row r="32">
      <x:c r="A32" t="str">
        <x:v>E01</x:v>
      </x:c>
      <x:c r="B32" t="str">
        <x:v>TT-02</x:v>
      </x:c>
      <x:c r="C32" t="str">
        <x:v>Text &amp; typography</x:v>
      </x:c>
      <x:c r="D32" t="str">
        <x:v>Z-Image Turbo</x:v>
      </x:c>
      <x:c r="E32" t="str">
        <x:v>A</x:v>
      </x:c>
      <x:c r="F32" t="n">
        <x:v>3</x:v>
      </x:c>
      <x:c r="G32" t="n">
        <x:v>3</x:v>
      </x:c>
      <x:c r="H32" t="n">
        <x:v>46292.26769043982</x:v>
      </x:c>
      <x:c r="I32"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32" t="str">
        <x:v>benchmark/results/open_source/z-image-turbo/w4/512/images/TT-02.png</x:v>
      </x:c>
    </x:row>
    <x:row r="33">
      <x:c r="A33" t="str">
        <x:v>E01</x:v>
      </x:c>
      <x:c r="B33" t="str">
        <x:v>TT-02</x:v>
      </x:c>
      <x:c r="C33" t="str">
        <x:v>Text &amp; typography</x:v>
      </x:c>
      <x:c r="D33" t="str">
        <x:v>FLUX.2 Klein 4B</x:v>
      </x:c>
      <x:c r="E33" t="str">
        <x:v>B</x:v>
      </x:c>
      <x:c r="F33" t="n">
        <x:v>4</x:v>
      </x:c>
      <x:c r="G33" t="n">
        <x:v>2</x:v>
      </x:c>
      <x:c r="H33" t="n">
        <x:v>46292.26769043982</x:v>
      </x:c>
      <x:c r="I33"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33" t="str">
        <x:v>benchmark/results/open_source/flux2-klein/q4_k_m/512/images/2a0777a6_TT-02.png</x:v>
      </x:c>
    </x:row>
    <x:row r="34">
      <x:c r="A34" t="str">
        <x:v>E01</x:v>
      </x:c>
      <x:c r="B34" t="str">
        <x:v>TT-02</x:v>
      </x:c>
      <x:c r="C34" t="str">
        <x:v>Text &amp; typography</x:v>
      </x:c>
      <x:c r="D34" t="str">
        <x:v>Gemini 3.1 Flash Image</x:v>
      </x:c>
      <x:c r="E34" t="str">
        <x:v>C</x:v>
      </x:c>
      <x:c r="F34" t="n">
        <x:v>2</x:v>
      </x:c>
      <x:c r="G34" t="n">
        <x:v>4</x:v>
      </x:c>
      <x:c r="H34" t="n">
        <x:v>46292.26769043982</x:v>
      </x:c>
      <x:c r="I34"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34" t="str">
        <x:v>benchmark/results/images/google/ab9f43fe_TT-02.png</x:v>
      </x:c>
    </x:row>
    <x:row r="35">
      <x:c r="A35" t="str">
        <x:v>E01</x:v>
      </x:c>
      <x:c r="B35" t="str">
        <x:v>TT-02</x:v>
      </x:c>
      <x:c r="C35" t="str">
        <x:v>Text &amp; typography</x:v>
      </x:c>
      <x:c r="D35" t="str">
        <x:v>GPT Image 2</x:v>
      </x:c>
      <x:c r="E35" t="str">
        <x:v>D</x:v>
      </x:c>
      <x:c r="F35" t="n">
        <x:v>1</x:v>
      </x:c>
      <x:c r="G35" t="n">
        <x:v>5</x:v>
      </x:c>
      <x:c r="H35" t="n">
        <x:v>46292.26769043982</x:v>
      </x:c>
      <x:c r="I35"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35" t="str">
        <x:v>benchmark/results/images/openai/4229ba19_TT-02.png</x:v>
      </x:c>
    </x:row>
    <x:row r="36">
      <x:c r="A36" t="str">
        <x:v>E01</x:v>
      </x:c>
      <x:c r="B36" t="str">
        <x:v>TT-02</x:v>
      </x:c>
      <x:c r="C36" t="str">
        <x:v>Text &amp; typography</x:v>
      </x:c>
      <x:c r="D36" t="str">
        <x:v>FLUX 2 Pro</x:v>
      </x:c>
      <x:c r="E36" t="str">
        <x:v>E</x:v>
      </x:c>
      <x:c r="F36" t="n">
        <x:v>5</x:v>
      </x:c>
      <x:c r="G36" t="n">
        <x:v>1</x:v>
      </x:c>
      <x:c r="H36" t="n">
        <x:v>46292.26769043982</x:v>
      </x:c>
      <x:c r="I36"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36" t="str">
        <x:v>benchmark/results/images/bfl/4229ba19_TT-02.png</x:v>
      </x:c>
    </x:row>
    <x:row r="37">
      <x:c r="A37" t="str">
        <x:v>E01</x:v>
      </x:c>
      <x:c r="B37" t="str">
        <x:v>TT-03</x:v>
      </x:c>
      <x:c r="C37" t="str">
        <x:v>Text &amp; typography</x:v>
      </x:c>
      <x:c r="D37" t="str">
        <x:v>FLUX 2 Pro</x:v>
      </x:c>
      <x:c r="E37" t="str">
        <x:v>A</x:v>
      </x:c>
      <x:c r="F37" t="n">
        <x:v>2</x:v>
      </x:c>
      <x:c r="G37" t="n">
        <x:v>4</x:v>
      </x:c>
      <x:c r="H37" t="n">
        <x:v>46292.26819299768</x:v>
      </x:c>
      <x:c r="I37"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37" t="str">
        <x:v>benchmark/results/images/bfl/4229ba19_TT-03.png</x:v>
      </x:c>
    </x:row>
    <x:row r="38">
      <x:c r="A38" t="str">
        <x:v>E01</x:v>
      </x:c>
      <x:c r="B38" t="str">
        <x:v>TT-03</x:v>
      </x:c>
      <x:c r="C38" t="str">
        <x:v>Text &amp; typography</x:v>
      </x:c>
      <x:c r="D38" t="str">
        <x:v>Gemini 3.1 Flash Image</x:v>
      </x:c>
      <x:c r="E38" t="str">
        <x:v>B</x:v>
      </x:c>
      <x:c r="F38" t="n">
        <x:v>3</x:v>
      </x:c>
      <x:c r="G38" t="n">
        <x:v>3</x:v>
      </x:c>
      <x:c r="H38" t="n">
        <x:v>46292.26819299768</x:v>
      </x:c>
      <x:c r="I38"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38" t="str">
        <x:v>benchmark/results/images/google/ab9f43fe_TT-03.png</x:v>
      </x:c>
    </x:row>
    <x:row r="39">
      <x:c r="A39" t="str">
        <x:v>E01</x:v>
      </x:c>
      <x:c r="B39" t="str">
        <x:v>TT-03</x:v>
      </x:c>
      <x:c r="C39" t="str">
        <x:v>Text &amp; typography</x:v>
      </x:c>
      <x:c r="D39" t="str">
        <x:v>Z-Image Turbo</x:v>
      </x:c>
      <x:c r="E39" t="str">
        <x:v>C</x:v>
      </x:c>
      <x:c r="F39" t="n">
        <x:v>4</x:v>
      </x:c>
      <x:c r="G39" t="n">
        <x:v>2</x:v>
      </x:c>
      <x:c r="H39" t="n">
        <x:v>46292.26819299768</x:v>
      </x:c>
      <x:c r="I39"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39" t="str">
        <x:v>benchmark/results/open_source/z-image-turbo/w4/512/images/TT-03.png</x:v>
      </x:c>
    </x:row>
    <x:row r="40">
      <x:c r="A40" t="str">
        <x:v>E01</x:v>
      </x:c>
      <x:c r="B40" t="str">
        <x:v>TT-03</x:v>
      </x:c>
      <x:c r="C40" t="str">
        <x:v>Text &amp; typography</x:v>
      </x:c>
      <x:c r="D40" t="str">
        <x:v>GPT Image 2</x:v>
      </x:c>
      <x:c r="E40" t="str">
        <x:v>D</x:v>
      </x:c>
      <x:c r="F40" t="n">
        <x:v>1</x:v>
      </x:c>
      <x:c r="G40" t="n">
        <x:v>5</x:v>
      </x:c>
      <x:c r="H40" t="n">
        <x:v>46292.26819299768</x:v>
      </x:c>
      <x:c r="I40"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40" t="str">
        <x:v>benchmark/results/images/openai/4229ba19_TT-03.png</x:v>
      </x:c>
    </x:row>
    <x:row r="41">
      <x:c r="A41" t="str">
        <x:v>E01</x:v>
      </x:c>
      <x:c r="B41" t="str">
        <x:v>TT-03</x:v>
      </x:c>
      <x:c r="C41" t="str">
        <x:v>Text &amp; typography</x:v>
      </x:c>
      <x:c r="D41" t="str">
        <x:v>FLUX.2 Klein 4B</x:v>
      </x:c>
      <x:c r="E41" t="str">
        <x:v>E</x:v>
      </x:c>
      <x:c r="F41" t="n">
        <x:v>5</x:v>
      </x:c>
      <x:c r="G41" t="n">
        <x:v>1</x:v>
      </x:c>
      <x:c r="H41" t="n">
        <x:v>46292.26819299768</x:v>
      </x:c>
      <x:c r="I41"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41" t="str">
        <x:v>benchmark/results/open_source/flux2-klein/q4_k_m/512/images/2a0777a6_TT-03.png</x:v>
      </x:c>
    </x:row>
    <x:row r="42">
      <x:c r="A42" t="str">
        <x:v>E01</x:v>
      </x:c>
      <x:c r="B42" t="str">
        <x:v>TT-04</x:v>
      </x:c>
      <x:c r="C42" t="str">
        <x:v>Text &amp; typography</x:v>
      </x:c>
      <x:c r="D42" t="str">
        <x:v>Z-Image Turbo</x:v>
      </x:c>
      <x:c r="E42" t="str">
        <x:v>A</x:v>
      </x:c>
      <x:c r="F42" t="n">
        <x:v>2</x:v>
      </x:c>
      <x:c r="G42" t="n">
        <x:v>4</x:v>
      </x:c>
      <x:c r="H42" t="n">
        <x:v>46292.27007302083</x:v>
      </x:c>
      <x:c r="I42"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42" t="str">
        <x:v>benchmark/results/open_source/z-image-turbo/w4/512/images/TT-04.png</x:v>
      </x:c>
    </x:row>
    <x:row r="43">
      <x:c r="A43" t="str">
        <x:v>E01</x:v>
      </x:c>
      <x:c r="B43" t="str">
        <x:v>TT-04</x:v>
      </x:c>
      <x:c r="C43" t="str">
        <x:v>Text &amp; typography</x:v>
      </x:c>
      <x:c r="D43" t="str">
        <x:v>Gemini 3.1 Flash Image</x:v>
      </x:c>
      <x:c r="E43" t="str">
        <x:v>B</x:v>
      </x:c>
      <x:c r="F43" t="n">
        <x:v>1</x:v>
      </x:c>
      <x:c r="G43" t="n">
        <x:v>5</x:v>
      </x:c>
      <x:c r="H43" t="n">
        <x:v>46292.27007302083</x:v>
      </x:c>
      <x:c r="I43"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43" t="str">
        <x:v>benchmark/results/images/google/ab9f43fe_TT-04.png</x:v>
      </x:c>
    </x:row>
    <x:row r="44">
      <x:c r="A44" t="str">
        <x:v>E01</x:v>
      </x:c>
      <x:c r="B44" t="str">
        <x:v>TT-04</x:v>
      </x:c>
      <x:c r="C44" t="str">
        <x:v>Text &amp; typography</x:v>
      </x:c>
      <x:c r="D44" t="str">
        <x:v>GPT Image 2</x:v>
      </x:c>
      <x:c r="E44" t="str">
        <x:v>C</x:v>
      </x:c>
      <x:c r="F44" t="n">
        <x:v>3</x:v>
      </x:c>
      <x:c r="G44" t="n">
        <x:v>3</x:v>
      </x:c>
      <x:c r="H44" t="n">
        <x:v>46292.27007302083</x:v>
      </x:c>
      <x:c r="I44"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44" t="str">
        <x:v>benchmark/results/images/openai/4229ba19_TT-04.png</x:v>
      </x:c>
    </x:row>
    <x:row r="45">
      <x:c r="A45" t="str">
        <x:v>E01</x:v>
      </x:c>
      <x:c r="B45" t="str">
        <x:v>TT-04</x:v>
      </x:c>
      <x:c r="C45" t="str">
        <x:v>Text &amp; typography</x:v>
      </x:c>
      <x:c r="D45" t="str">
        <x:v>FLUX.2 Klein 4B</x:v>
      </x:c>
      <x:c r="E45" t="str">
        <x:v>D</x:v>
      </x:c>
      <x:c r="F45" t="n">
        <x:v>5</x:v>
      </x:c>
      <x:c r="G45" t="n">
        <x:v>1</x:v>
      </x:c>
      <x:c r="H45" t="n">
        <x:v>46292.27007302083</x:v>
      </x:c>
      <x:c r="I45"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45" t="str">
        <x:v>benchmark/results/open_source/flux2-klein/q4_k_m/512/images/2a0777a6_TT-04.png</x:v>
      </x:c>
    </x:row>
    <x:row r="46">
      <x:c r="A46" t="str">
        <x:v>E01</x:v>
      </x:c>
      <x:c r="B46" t="str">
        <x:v>TT-04</x:v>
      </x:c>
      <x:c r="C46" t="str">
        <x:v>Text &amp; typography</x:v>
      </x:c>
      <x:c r="D46" t="str">
        <x:v>FLUX 2 Pro</x:v>
      </x:c>
      <x:c r="E46" t="str">
        <x:v>E</x:v>
      </x:c>
      <x:c r="F46" t="n">
        <x:v>4</x:v>
      </x:c>
      <x:c r="G46" t="n">
        <x:v>2</x:v>
      </x:c>
      <x:c r="H46" t="n">
        <x:v>46292.27007302083</x:v>
      </x:c>
      <x:c r="I46"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46" t="str">
        <x:v>benchmark/results/images/bfl/4229ba19_TT-04.png</x:v>
      </x:c>
    </x:row>
    <x:row r="47">
      <x:c r="A47" t="str">
        <x:v>E01</x:v>
      </x:c>
      <x:c r="B47" t="str">
        <x:v>TT-05</x:v>
      </x:c>
      <x:c r="C47" t="str">
        <x:v>Text &amp; typography</x:v>
      </x:c>
      <x:c r="D47" t="str">
        <x:v>Gemini 3.1 Flash Image</x:v>
      </x:c>
      <x:c r="E47" t="str">
        <x:v>A</x:v>
      </x:c>
      <x:c r="F47" t="n">
        <x:v>1</x:v>
      </x:c>
      <x:c r="G47" t="n">
        <x:v>5</x:v>
      </x:c>
      <x:c r="H47" t="n">
        <x:v>46292.27040591435</x:v>
      </x:c>
      <x:c r="I47"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47" t="str">
        <x:v>benchmark/results/images/google/ab9f43fe_TT-05.png</x:v>
      </x:c>
    </x:row>
    <x:row r="48">
      <x:c r="A48" t="str">
        <x:v>E01</x:v>
      </x:c>
      <x:c r="B48" t="str">
        <x:v>TT-05</x:v>
      </x:c>
      <x:c r="C48" t="str">
        <x:v>Text &amp; typography</x:v>
      </x:c>
      <x:c r="D48" t="str">
        <x:v>GPT Image 2</x:v>
      </x:c>
      <x:c r="E48" t="str">
        <x:v>B</x:v>
      </x:c>
      <x:c r="F48" t="n">
        <x:v>2</x:v>
      </x:c>
      <x:c r="G48" t="n">
        <x:v>4</x:v>
      </x:c>
      <x:c r="H48" t="n">
        <x:v>46292.27040591435</x:v>
      </x:c>
      <x:c r="I48"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48" t="str">
        <x:v>benchmark/results/images/openai/4229ba19_TT-05.png</x:v>
      </x:c>
    </x:row>
    <x:row r="49">
      <x:c r="A49" t="str">
        <x:v>E01</x:v>
      </x:c>
      <x:c r="B49" t="str">
        <x:v>TT-05</x:v>
      </x:c>
      <x:c r="C49" t="str">
        <x:v>Text &amp; typography</x:v>
      </x:c>
      <x:c r="D49" t="str">
        <x:v>Z-Image Turbo</x:v>
      </x:c>
      <x:c r="E49" t="str">
        <x:v>C</x:v>
      </x:c>
      <x:c r="F49" t="n">
        <x:v>4</x:v>
      </x:c>
      <x:c r="G49" t="n">
        <x:v>2</x:v>
      </x:c>
      <x:c r="H49" t="n">
        <x:v>46292.27040591435</x:v>
      </x:c>
      <x:c r="I49"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49" t="str">
        <x:v>benchmark/results/open_source/z-image-turbo/w4/512/images/TT-05.png</x:v>
      </x:c>
    </x:row>
    <x:row r="50">
      <x:c r="A50" t="str">
        <x:v>E01</x:v>
      </x:c>
      <x:c r="B50" t="str">
        <x:v>TT-05</x:v>
      </x:c>
      <x:c r="C50" t="str">
        <x:v>Text &amp; typography</x:v>
      </x:c>
      <x:c r="D50" t="str">
        <x:v>FLUX.2 Klein 4B</x:v>
      </x:c>
      <x:c r="E50" t="str">
        <x:v>D</x:v>
      </x:c>
      <x:c r="F50" t="n">
        <x:v>3</x:v>
      </x:c>
      <x:c r="G50" t="n">
        <x:v>3</x:v>
      </x:c>
      <x:c r="H50" t="n">
        <x:v>46292.27040591435</x:v>
      </x:c>
      <x:c r="I50"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50" t="str">
        <x:v>benchmark/results/open_source/flux2-klein/q4_k_m/512/images/2a0777a6_TT-05.png</x:v>
      </x:c>
    </x:row>
    <x:row r="51">
      <x:c r="A51" t="str">
        <x:v>E01</x:v>
      </x:c>
      <x:c r="B51" t="str">
        <x:v>TT-05</x:v>
      </x:c>
      <x:c r="C51" t="str">
        <x:v>Text &amp; typography</x:v>
      </x:c>
      <x:c r="D51" t="str">
        <x:v>FLUX 2 Pro</x:v>
      </x:c>
      <x:c r="E51" t="str">
        <x:v>E</x:v>
      </x:c>
      <x:c r="F51" t="n">
        <x:v>5</x:v>
      </x:c>
      <x:c r="G51" t="n">
        <x:v>1</x:v>
      </x:c>
      <x:c r="H51" t="n">
        <x:v>46292.27040591435</x:v>
      </x:c>
      <x:c r="I51"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51" t="str">
        <x:v>benchmark/results/images/bfl/4229ba19_TT-05.png</x:v>
      </x:c>
    </x:row>
    <x:row r="52">
      <x:c r="A52" t="str">
        <x:v>E01</x:v>
      </x:c>
      <x:c r="B52" t="str">
        <x:v>BA-01</x:v>
      </x:c>
      <x:c r="C52" t="str">
        <x:v>Branding &amp; advertising</x:v>
      </x:c>
      <x:c r="D52" t="str">
        <x:v>Gemini 3.1 Flash Image</x:v>
      </x:c>
      <x:c r="E52" t="str">
        <x:v>A</x:v>
      </x:c>
      <x:c r="F52" t="n">
        <x:v>3</x:v>
      </x:c>
      <x:c r="G52" t="n">
        <x:v>3</x:v>
      </x:c>
      <x:c r="H52" t="n">
        <x:v>46292.27062351852</x:v>
      </x:c>
      <x:c r="I52" t="str">
        <x:v>Create a product advertisement for a fictional skincare brand called "LUMI". Show a single glass serum bottle centered on a baby blue background, with soft shadows and a clean minimal look.</x:v>
      </x:c>
      <x:c r="J52" t="str">
        <x:v>benchmark/results/images/google/ab9f43fe_BA-01.png</x:v>
      </x:c>
    </x:row>
    <x:row r="53">
      <x:c r="A53" t="str">
        <x:v>E01</x:v>
      </x:c>
      <x:c r="B53" t="str">
        <x:v>BA-01</x:v>
      </x:c>
      <x:c r="C53" t="str">
        <x:v>Branding &amp; advertising</x:v>
      </x:c>
      <x:c r="D53" t="str">
        <x:v>Z-Image Turbo</x:v>
      </x:c>
      <x:c r="E53" t="str">
        <x:v>B</x:v>
      </x:c>
      <x:c r="F53" t="n">
        <x:v>5</x:v>
      </x:c>
      <x:c r="G53" t="n">
        <x:v>1</x:v>
      </x:c>
      <x:c r="H53" t="n">
        <x:v>46292.27062351852</x:v>
      </x:c>
      <x:c r="I53" t="str">
        <x:v>Create a product advertisement for a fictional skincare brand called "LUMI". Show a single glass serum bottle centered on a baby blue background, with soft shadows and a clean minimal look.</x:v>
      </x:c>
      <x:c r="J53" t="str">
        <x:v>benchmark/results/open_source/z-image-turbo/w4/512/images/BA-01.png</x:v>
      </x:c>
    </x:row>
    <x:row r="54">
      <x:c r="A54" t="str">
        <x:v>E01</x:v>
      </x:c>
      <x:c r="B54" t="str">
        <x:v>BA-01</x:v>
      </x:c>
      <x:c r="C54" t="str">
        <x:v>Branding &amp; advertising</x:v>
      </x:c>
      <x:c r="D54" t="str">
        <x:v>GPT Image 2</x:v>
      </x:c>
      <x:c r="E54" t="str">
        <x:v>C</x:v>
      </x:c>
      <x:c r="F54" t="n">
        <x:v>1</x:v>
      </x:c>
      <x:c r="G54" t="n">
        <x:v>5</x:v>
      </x:c>
      <x:c r="H54" t="n">
        <x:v>46292.27062351852</x:v>
      </x:c>
      <x:c r="I54" t="str">
        <x:v>Create a product advertisement for a fictional skincare brand called "LUMI". Show a single glass serum bottle centered on a baby blue background, with soft shadows and a clean minimal look.</x:v>
      </x:c>
      <x:c r="J54" t="str">
        <x:v>benchmark/results/images/openai/4229ba19_BA-01.png</x:v>
      </x:c>
    </x:row>
    <x:row r="55">
      <x:c r="A55" t="str">
        <x:v>E01</x:v>
      </x:c>
      <x:c r="B55" t="str">
        <x:v>BA-01</x:v>
      </x:c>
      <x:c r="C55" t="str">
        <x:v>Branding &amp; advertising</x:v>
      </x:c>
      <x:c r="D55" t="str">
        <x:v>FLUX.2 Klein 4B</x:v>
      </x:c>
      <x:c r="E55" t="str">
        <x:v>D</x:v>
      </x:c>
      <x:c r="F55" t="n">
        <x:v>4</x:v>
      </x:c>
      <x:c r="G55" t="n">
        <x:v>2</x:v>
      </x:c>
      <x:c r="H55" t="n">
        <x:v>46292.27062351852</x:v>
      </x:c>
      <x:c r="I55" t="str">
        <x:v>Create a product advertisement for a fictional skincare brand called "LUMI". Show a single glass serum bottle centered on a baby blue background, with soft shadows and a clean minimal look.</x:v>
      </x:c>
      <x:c r="J55" t="str">
        <x:v>benchmark/results/open_source/flux2-klein/q4_k_m/512/images/2a0777a6_BA-01.png</x:v>
      </x:c>
    </x:row>
    <x:row r="56">
      <x:c r="A56" t="str">
        <x:v>E01</x:v>
      </x:c>
      <x:c r="B56" t="str">
        <x:v>BA-01</x:v>
      </x:c>
      <x:c r="C56" t="str">
        <x:v>Branding &amp; advertising</x:v>
      </x:c>
      <x:c r="D56" t="str">
        <x:v>FLUX 2 Pro</x:v>
      </x:c>
      <x:c r="E56" t="str">
        <x:v>E</x:v>
      </x:c>
      <x:c r="F56" t="n">
        <x:v>2</x:v>
      </x:c>
      <x:c r="G56" t="n">
        <x:v>4</x:v>
      </x:c>
      <x:c r="H56" t="n">
        <x:v>46292.27062351852</x:v>
      </x:c>
      <x:c r="I56" t="str">
        <x:v>Create a product advertisement for a fictional skincare brand called "LUMI". Show a single glass serum bottle centered on a baby blue background, with soft shadows and a clean minimal look.</x:v>
      </x:c>
      <x:c r="J56" t="str">
        <x:v>benchmark/results/images/bfl/4229ba19_BA-01.png</x:v>
      </x:c>
    </x:row>
    <x:row r="57">
      <x:c r="A57" t="str">
        <x:v>E01</x:v>
      </x:c>
      <x:c r="B57" t="str">
        <x:v>BA-02</x:v>
      </x:c>
      <x:c r="C57" t="str">
        <x:v>Branding &amp; advertising</x:v>
      </x:c>
      <x:c r="D57" t="str">
        <x:v>Gemini 3.1 Flash Image</x:v>
      </x:c>
      <x:c r="E57" t="str">
        <x:v>A</x:v>
      </x:c>
      <x:c r="F57" t="n">
        <x:v>4</x:v>
      </x:c>
      <x:c r="G57" t="n">
        <x:v>2</x:v>
      </x:c>
      <x:c r="H57" t="n">
        <x:v>46292.271404224535</x:v>
      </x:c>
      <x:c r="I57" t="str">
        <x:v>Create a social media advertisement for a fictional sportswear brand called "VORA". Show a white sneaker on a dark pedestal with orange accents, dramatic side lighting, and negative space on the left for advertising copy.</x:v>
      </x:c>
      <x:c r="J57" t="str">
        <x:v>benchmark/results/images/google/ab9f43fe_BA-02.png</x:v>
      </x:c>
    </x:row>
    <x:row r="58">
      <x:c r="A58" t="str">
        <x:v>E01</x:v>
      </x:c>
      <x:c r="B58" t="str">
        <x:v>BA-02</x:v>
      </x:c>
      <x:c r="C58" t="str">
        <x:v>Branding &amp; advertising</x:v>
      </x:c>
      <x:c r="D58" t="str">
        <x:v>FLUX 2 Pro</x:v>
      </x:c>
      <x:c r="E58" t="str">
        <x:v>B</x:v>
      </x:c>
      <x:c r="F58" t="n">
        <x:v>2</x:v>
      </x:c>
      <x:c r="G58" t="n">
        <x:v>4</x:v>
      </x:c>
      <x:c r="H58" t="n">
        <x:v>46292.271404224535</x:v>
      </x:c>
      <x:c r="I58" t="str">
        <x:v>Create a social media advertisement for a fictional sportswear brand called "VORA". Show a white sneaker on a dark pedestal with orange accents, dramatic side lighting, and negative space on the left for advertising copy.</x:v>
      </x:c>
      <x:c r="J58" t="str">
        <x:v>benchmark/results/images/bfl/4229ba19_BA-02.png</x:v>
      </x:c>
    </x:row>
    <x:row r="59">
      <x:c r="A59" t="str">
        <x:v>E01</x:v>
      </x:c>
      <x:c r="B59" t="str">
        <x:v>BA-02</x:v>
      </x:c>
      <x:c r="C59" t="str">
        <x:v>Branding &amp; advertising</x:v>
      </x:c>
      <x:c r="D59" t="str">
        <x:v>GPT Image 2</x:v>
      </x:c>
      <x:c r="E59" t="str">
        <x:v>C</x:v>
      </x:c>
      <x:c r="F59" t="n">
        <x:v>1</x:v>
      </x:c>
      <x:c r="G59" t="n">
        <x:v>5</x:v>
      </x:c>
      <x:c r="H59" t="n">
        <x:v>46292.271404224535</x:v>
      </x:c>
      <x:c r="I59" t="str">
        <x:v>Create a social media advertisement for a fictional sportswear brand called "VORA". Show a white sneaker on a dark pedestal with orange accents, dramatic side lighting, and negative space on the left for advertising copy.</x:v>
      </x:c>
      <x:c r="J59" t="str">
        <x:v>benchmark/results/images/openai/4229ba19_BA-02.png</x:v>
      </x:c>
    </x:row>
    <x:row r="60">
      <x:c r="A60" t="str">
        <x:v>E01</x:v>
      </x:c>
      <x:c r="B60" t="str">
        <x:v>BA-02</x:v>
      </x:c>
      <x:c r="C60" t="str">
        <x:v>Branding &amp; advertising</x:v>
      </x:c>
      <x:c r="D60" t="str">
        <x:v>Z-Image Turbo</x:v>
      </x:c>
      <x:c r="E60" t="str">
        <x:v>D</x:v>
      </x:c>
      <x:c r="F60" t="n">
        <x:v>3</x:v>
      </x:c>
      <x:c r="G60" t="n">
        <x:v>3</x:v>
      </x:c>
      <x:c r="H60" t="n">
        <x:v>46292.271404224535</x:v>
      </x:c>
      <x:c r="I60" t="str">
        <x:v>Create a social media advertisement for a fictional sportswear brand called "VORA". Show a white sneaker on a dark pedestal with orange accents, dramatic side lighting, and negative space on the left for advertising copy.</x:v>
      </x:c>
      <x:c r="J60" t="str">
        <x:v>benchmark/results/open_source/z-image-turbo/w4/512/images/BA-02.png</x:v>
      </x:c>
    </x:row>
    <x:row r="61">
      <x:c r="A61" t="str">
        <x:v>E01</x:v>
      </x:c>
      <x:c r="B61" t="str">
        <x:v>BA-02</x:v>
      </x:c>
      <x:c r="C61" t="str">
        <x:v>Branding &amp; advertising</x:v>
      </x:c>
      <x:c r="D61" t="str">
        <x:v>FLUX.2 Klein 4B</x:v>
      </x:c>
      <x:c r="E61" t="str">
        <x:v>E</x:v>
      </x:c>
      <x:c r="F61" t="n">
        <x:v>5</x:v>
      </x:c>
      <x:c r="G61" t="n">
        <x:v>1</x:v>
      </x:c>
      <x:c r="H61" t="n">
        <x:v>46292.271404224535</x:v>
      </x:c>
      <x:c r="I61" t="str">
        <x:v>Create a social media advertisement for a fictional sportswear brand called "VORA". Show a white sneaker on a dark pedestal with orange accents, dramatic side lighting, and negative space on the left for advertising copy.</x:v>
      </x:c>
      <x:c r="J61" t="str">
        <x:v>benchmark/results/open_source/flux2-klein/q4_k_m/512/images/2a0777a6_BA-02.png</x:v>
      </x:c>
    </x:row>
    <x:row r="62">
      <x:c r="A62" t="str">
        <x:v>E01</x:v>
      </x:c>
      <x:c r="B62" t="str">
        <x:v>BA-03</x:v>
      </x:c>
      <x:c r="C62" t="str">
        <x:v>Branding &amp; advertising</x:v>
      </x:c>
      <x:c r="D62" t="str">
        <x:v>FLUX 2 Pro</x:v>
      </x:c>
      <x:c r="E62" t="str">
        <x:v>A</x:v>
      </x:c>
      <x:c r="F62" t="n">
        <x:v>1</x:v>
      </x:c>
      <x:c r="G62" t="n">
        <x:v>5</x:v>
      </x:c>
      <x:c r="H62" t="n">
        <x:v>46292.271774594905</x:v>
      </x:c>
      <x:c r="I62" t="str">
        <x:v>Create a promotional advertisement for a fictional coffee brand called "NOVA". Show a takeaway coffee cup beside scattered coffee beans on a warm beige surface. Use soft morning lighting, a modern premium style, and include the brand name "NOVA" clearly on the cup.</x:v>
      </x:c>
      <x:c r="J62" t="str">
        <x:v>benchmark/results/images/bfl/4229ba19_BA-03.png</x:v>
      </x:c>
    </x:row>
    <x:row r="63">
      <x:c r="A63" t="str">
        <x:v>E01</x:v>
      </x:c>
      <x:c r="B63" t="str">
        <x:v>BA-03</x:v>
      </x:c>
      <x:c r="C63" t="str">
        <x:v>Branding &amp; advertising</x:v>
      </x:c>
      <x:c r="D63" t="str">
        <x:v>Gemini 3.1 Flash Image</x:v>
      </x:c>
      <x:c r="E63" t="str">
        <x:v>B</x:v>
      </x:c>
      <x:c r="F63" t="n">
        <x:v>3</x:v>
      </x:c>
      <x:c r="G63" t="n">
        <x:v>3</x:v>
      </x:c>
      <x:c r="H63" t="n">
        <x:v>46292.271774594905</x:v>
      </x:c>
      <x:c r="I63" t="str">
        <x:v>Create a promotional advertisement for a fictional coffee brand called "NOVA". Show a takeaway coffee cup beside scattered coffee beans on a warm beige surface. Use soft morning lighting, a modern premium style, and include the brand name "NOVA" clearly on the cup.</x:v>
      </x:c>
      <x:c r="J63" t="str">
        <x:v>benchmark/results/images/google/ab9f43fe_BA-03.png</x:v>
      </x:c>
    </x:row>
    <x:row r="64">
      <x:c r="A64" t="str">
        <x:v>E01</x:v>
      </x:c>
      <x:c r="B64" t="str">
        <x:v>BA-03</x:v>
      </x:c>
      <x:c r="C64" t="str">
        <x:v>Branding &amp; advertising</x:v>
      </x:c>
      <x:c r="D64" t="str">
        <x:v>FLUX.2 Klein 4B</x:v>
      </x:c>
      <x:c r="E64" t="str">
        <x:v>C</x:v>
      </x:c>
      <x:c r="F64" t="n">
        <x:v>2</x:v>
      </x:c>
      <x:c r="G64" t="n">
        <x:v>4</x:v>
      </x:c>
      <x:c r="H64" t="n">
        <x:v>46292.271774594905</x:v>
      </x:c>
      <x:c r="I64" t="str">
        <x:v>Create a promotional advertisement for a fictional coffee brand called "NOVA". Show a takeaway coffee cup beside scattered coffee beans on a warm beige surface. Use soft morning lighting, a modern premium style, and include the brand name "NOVA" clearly on the cup.</x:v>
      </x:c>
      <x:c r="J64" t="str">
        <x:v>benchmark/results/open_source/flux2-klein/q4_k_m/512/images/2a0777a6_BA-03.png</x:v>
      </x:c>
    </x:row>
    <x:row r="65">
      <x:c r="A65" t="str">
        <x:v>E01</x:v>
      </x:c>
      <x:c r="B65" t="str">
        <x:v>BA-03</x:v>
      </x:c>
      <x:c r="C65" t="str">
        <x:v>Branding &amp; advertising</x:v>
      </x:c>
      <x:c r="D65" t="str">
        <x:v>Z-Image Turbo</x:v>
      </x:c>
      <x:c r="E65" t="str">
        <x:v>D</x:v>
      </x:c>
      <x:c r="F65" t="n">
        <x:v>5</x:v>
      </x:c>
      <x:c r="G65" t="n">
        <x:v>1</x:v>
      </x:c>
      <x:c r="H65" t="n">
        <x:v>46292.271774594905</x:v>
      </x:c>
      <x:c r="I65" t="str">
        <x:v>Create a promotional advertisement for a fictional coffee brand called "NOVA". Show a takeaway coffee cup beside scattered coffee beans on a warm beige surface. Use soft morning lighting, a modern premium style, and include the brand name "NOVA" clearly on the cup.</x:v>
      </x:c>
      <x:c r="J65" t="str">
        <x:v>benchmark/results/open_source/z-image-turbo/w4/512/images/BA-03.png</x:v>
      </x:c>
    </x:row>
    <x:row r="66">
      <x:c r="A66" t="str">
        <x:v>E01</x:v>
      </x:c>
      <x:c r="B66" t="str">
        <x:v>BA-03</x:v>
      </x:c>
      <x:c r="C66" t="str">
        <x:v>Branding &amp; advertising</x:v>
      </x:c>
      <x:c r="D66" t="str">
        <x:v>GPT Image 2</x:v>
      </x:c>
      <x:c r="E66" t="str">
        <x:v>E</x:v>
      </x:c>
      <x:c r="F66" t="n">
        <x:v>4</x:v>
      </x:c>
      <x:c r="G66" t="n">
        <x:v>2</x:v>
      </x:c>
      <x:c r="H66" t="n">
        <x:v>46292.271774594905</x:v>
      </x:c>
      <x:c r="I66" t="str">
        <x:v>Create a promotional advertisement for a fictional coffee brand called "NOVA". Show a takeaway coffee cup beside scattered coffee beans on a warm beige surface. Use soft morning lighting, a modern premium style, and include the brand name "NOVA" clearly on the cup.</x:v>
      </x:c>
      <x:c r="J66" t="str">
        <x:v>benchmark/results/images/openai/4229ba19_BA-03.png</x:v>
      </x:c>
    </x:row>
    <x:row r="67">
      <x:c r="A67" t="str">
        <x:v>E01</x:v>
      </x:c>
      <x:c r="B67" t="str">
        <x:v>BA-04</x:v>
      </x:c>
      <x:c r="C67" t="str">
        <x:v>Branding &amp; advertising</x:v>
      </x:c>
      <x:c r="D67" t="str">
        <x:v>FLUX 2 Pro</x:v>
      </x:c>
      <x:c r="E67" t="str">
        <x:v>A</x:v>
      </x:c>
      <x:c r="F67" t="n">
        <x:v>4</x:v>
      </x:c>
      <x:c r="G67" t="n">
        <x:v>2</x:v>
      </x:c>
      <x:c r="H67" t="n">
        <x:v>46292.27229997685</x:v>
      </x:c>
      <x:c r="I67"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67" t="str">
        <x:v>benchmark/results/images/bfl/4229ba19_BA-04.png</x:v>
      </x:c>
    </x:row>
    <x:row r="68">
      <x:c r="A68" t="str">
        <x:v>E01</x:v>
      </x:c>
      <x:c r="B68" t="str">
        <x:v>BA-04</x:v>
      </x:c>
      <x:c r="C68" t="str">
        <x:v>Branding &amp; advertising</x:v>
      </x:c>
      <x:c r="D68" t="str">
        <x:v>Z-Image Turbo</x:v>
      </x:c>
      <x:c r="E68" t="str">
        <x:v>B</x:v>
      </x:c>
      <x:c r="F68" t="n">
        <x:v>5</x:v>
      </x:c>
      <x:c r="G68" t="n">
        <x:v>1</x:v>
      </x:c>
      <x:c r="H68" t="n">
        <x:v>46292.27229997685</x:v>
      </x:c>
      <x:c r="I68"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68" t="str">
        <x:v>benchmark/results/open_source/z-image-turbo/w4/512/images/BA-04.png</x:v>
      </x:c>
    </x:row>
    <x:row r="69">
      <x:c r="A69" t="str">
        <x:v>E01</x:v>
      </x:c>
      <x:c r="B69" t="str">
        <x:v>BA-04</x:v>
      </x:c>
      <x:c r="C69" t="str">
        <x:v>Branding &amp; advertising</x:v>
      </x:c>
      <x:c r="D69" t="str">
        <x:v>Gemini 3.1 Flash Image</x:v>
      </x:c>
      <x:c r="E69" t="str">
        <x:v>C</x:v>
      </x:c>
      <x:c r="F69" t="n">
        <x:v>1</x:v>
      </x:c>
      <x:c r="G69" t="n">
        <x:v>5</x:v>
      </x:c>
      <x:c r="H69" t="n">
        <x:v>46292.27229997685</x:v>
      </x:c>
      <x:c r="I69"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69" t="str">
        <x:v>benchmark/results/images/google/ab9f43fe_BA-04.png</x:v>
      </x:c>
    </x:row>
    <x:row r="70">
      <x:c r="A70" t="str">
        <x:v>E01</x:v>
      </x:c>
      <x:c r="B70" t="str">
        <x:v>BA-04</x:v>
      </x:c>
      <x:c r="C70" t="str">
        <x:v>Branding &amp; advertising</x:v>
      </x:c>
      <x:c r="D70" t="str">
        <x:v>FLUX.2 Klein 4B</x:v>
      </x:c>
      <x:c r="E70" t="str">
        <x:v>D</x:v>
      </x:c>
      <x:c r="F70" t="n">
        <x:v>3</x:v>
      </x:c>
      <x:c r="G70" t="n">
        <x:v>3</x:v>
      </x:c>
      <x:c r="H70" t="n">
        <x:v>46292.27229997685</x:v>
      </x:c>
      <x:c r="I70"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70" t="str">
        <x:v>benchmark/results/open_source/flux2-klein/q4_k_m/512/images/2a0777a6_BA-04.png</x:v>
      </x:c>
    </x:row>
    <x:row r="71">
      <x:c r="A71" t="str">
        <x:v>E01</x:v>
      </x:c>
      <x:c r="B71" t="str">
        <x:v>BA-04</x:v>
      </x:c>
      <x:c r="C71" t="str">
        <x:v>Branding &amp; advertising</x:v>
      </x:c>
      <x:c r="D71" t="str">
        <x:v>GPT Image 2</x:v>
      </x:c>
      <x:c r="E71" t="str">
        <x:v>E</x:v>
      </x:c>
      <x:c r="F71" t="n">
        <x:v>2</x:v>
      </x:c>
      <x:c r="G71" t="n">
        <x:v>4</x:v>
      </x:c>
      <x:c r="H71" t="n">
        <x:v>46292.27229997685</x:v>
      </x:c>
      <x:c r="I71"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71" t="str">
        <x:v>benchmark/results/images/openai/4229ba19_BA-04.png</x:v>
      </x:c>
    </x:row>
    <x:row r="72">
      <x:c r="A72" t="str">
        <x:v>E01</x:v>
      </x:c>
      <x:c r="B72" t="str">
        <x:v>BA-05</x:v>
      </x:c>
      <x:c r="C72" t="str">
        <x:v>Branding &amp; advertising</x:v>
      </x:c>
      <x:c r="D72" t="str">
        <x:v>GPT Image 2</x:v>
      </x:c>
      <x:c r="E72" t="str">
        <x:v>A</x:v>
      </x:c>
      <x:c r="F72" t="n">
        <x:v>1</x:v>
      </x:c>
      <x:c r="G72" t="n">
        <x:v>5</x:v>
      </x:c>
      <x:c r="H72" t="n">
        <x:v>46292.27316394676</x:v>
      </x:c>
      <x:c r="I72"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72" t="str">
        <x:v>benchmark/results/images/openai/4229ba19_BA-05.png</x:v>
      </x:c>
    </x:row>
    <x:row r="73">
      <x:c r="A73" t="str">
        <x:v>E01</x:v>
      </x:c>
      <x:c r="B73" t="str">
        <x:v>BA-05</x:v>
      </x:c>
      <x:c r="C73" t="str">
        <x:v>Branding &amp; advertising</x:v>
      </x:c>
      <x:c r="D73" t="str">
        <x:v>Gemini 3.1 Flash Image</x:v>
      </x:c>
      <x:c r="E73" t="str">
        <x:v>B</x:v>
      </x:c>
      <x:c r="F73" t="n">
        <x:v>3</x:v>
      </x:c>
      <x:c r="G73" t="n">
        <x:v>3</x:v>
      </x:c>
      <x:c r="H73" t="n">
        <x:v>46292.27316394676</x:v>
      </x:c>
      <x:c r="I73"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73" t="str">
        <x:v>benchmark/results/images/google/ab9f43fe_BA-05.png</x:v>
      </x:c>
    </x:row>
    <x:row r="74">
      <x:c r="A74" t="str">
        <x:v>E01</x:v>
      </x:c>
      <x:c r="B74" t="str">
        <x:v>BA-05</x:v>
      </x:c>
      <x:c r="C74" t="str">
        <x:v>Branding &amp; advertising</x:v>
      </x:c>
      <x:c r="D74" t="str">
        <x:v>FLUX 2 Pro</x:v>
      </x:c>
      <x:c r="E74" t="str">
        <x:v>C</x:v>
      </x:c>
      <x:c r="F74" t="n">
        <x:v>2</x:v>
      </x:c>
      <x:c r="G74" t="n">
        <x:v>4</x:v>
      </x:c>
      <x:c r="H74" t="n">
        <x:v>46292.27316394676</x:v>
      </x:c>
      <x:c r="I74"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74" t="str">
        <x:v>benchmark/results/images/bfl/4229ba19_BA-05.png</x:v>
      </x:c>
    </x:row>
    <x:row r="75">
      <x:c r="A75" t="str">
        <x:v>E01</x:v>
      </x:c>
      <x:c r="B75" t="str">
        <x:v>BA-05</x:v>
      </x:c>
      <x:c r="C75" t="str">
        <x:v>Branding &amp; advertising</x:v>
      </x:c>
      <x:c r="D75" t="str">
        <x:v>FLUX.2 Klein 4B</x:v>
      </x:c>
      <x:c r="E75" t="str">
        <x:v>D</x:v>
      </x:c>
      <x:c r="F75" t="n">
        <x:v>5</x:v>
      </x:c>
      <x:c r="G75" t="n">
        <x:v>1</x:v>
      </x:c>
      <x:c r="H75" t="n">
        <x:v>46292.27316394676</x:v>
      </x:c>
      <x:c r="I75"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75" t="str">
        <x:v>benchmark/results/open_source/flux2-klein/q4_k_m/512/images/2a0777a6_BA-05.png</x:v>
      </x:c>
    </x:row>
    <x:row r="76">
      <x:c r="A76" t="str">
        <x:v>E01</x:v>
      </x:c>
      <x:c r="B76" t="str">
        <x:v>BA-05</x:v>
      </x:c>
      <x:c r="C76" t="str">
        <x:v>Branding &amp; advertising</x:v>
      </x:c>
      <x:c r="D76" t="str">
        <x:v>Z-Image Turbo</x:v>
      </x:c>
      <x:c r="E76" t="str">
        <x:v>E</x:v>
      </x:c>
      <x:c r="F76" t="n">
        <x:v>4</x:v>
      </x:c>
      <x:c r="G76" t="n">
        <x:v>2</x:v>
      </x:c>
      <x:c r="H76" t="n">
        <x:v>46292.27316394676</x:v>
      </x:c>
      <x:c r="I76"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76" t="str">
        <x:v>benchmark/results/open_source/z-image-turbo/w4/512/images/BA-05.png</x:v>
      </x:c>
    </x:row>
    <x:row r="77">
      <x:c r="A77" t="str">
        <x:v>E01</x:v>
      </x:c>
      <x:c r="B77" t="str">
        <x:v>PO-01</x:v>
      </x:c>
      <x:c r="C77" t="str">
        <x:v>Products &amp; objects</x:v>
      </x:c>
      <x:c r="D77" t="str">
        <x:v>FLUX.2 Klein 4B</x:v>
      </x:c>
      <x:c r="E77" t="str">
        <x:v>A</x:v>
      </x:c>
      <x:c r="F77" t="n">
        <x:v>5</x:v>
      </x:c>
      <x:c r="G77" t="n">
        <x:v>1</x:v>
      </x:c>
      <x:c r="H77" t="n">
        <x:v>46292.27393127315</x:v>
      </x:c>
      <x:c r="I77" t="str">
        <x:v>A luxury perfume bottle with a square glass silhouette and gold cap, photographed on a plain grey studio background with soft shadows, product photography style.</x:v>
      </x:c>
      <x:c r="J77" t="str">
        <x:v>benchmark/results/open_source/flux2-klein/q4_k_m/512/images/2a0777a6_PO-01.png</x:v>
      </x:c>
    </x:row>
    <x:row r="78">
      <x:c r="A78" t="str">
        <x:v>E01</x:v>
      </x:c>
      <x:c r="B78" t="str">
        <x:v>PO-01</x:v>
      </x:c>
      <x:c r="C78" t="str">
        <x:v>Products &amp; objects</x:v>
      </x:c>
      <x:c r="D78" t="str">
        <x:v>GPT Image 2</x:v>
      </x:c>
      <x:c r="E78" t="str">
        <x:v>B</x:v>
      </x:c>
      <x:c r="F78" t="n">
        <x:v>2</x:v>
      </x:c>
      <x:c r="G78" t="n">
        <x:v>4</x:v>
      </x:c>
      <x:c r="H78" t="n">
        <x:v>46292.27393127315</x:v>
      </x:c>
      <x:c r="I78" t="str">
        <x:v>A luxury perfume bottle with a square glass silhouette and gold cap, photographed on a plain grey studio background with soft shadows, product photography style.</x:v>
      </x:c>
      <x:c r="J78" t="str">
        <x:v>benchmark/results/images/openai/4229ba19_PO-01.png</x:v>
      </x:c>
    </x:row>
    <x:row r="79">
      <x:c r="A79" t="str">
        <x:v>E01</x:v>
      </x:c>
      <x:c r="B79" t="str">
        <x:v>PO-01</x:v>
      </x:c>
      <x:c r="C79" t="str">
        <x:v>Products &amp; objects</x:v>
      </x:c>
      <x:c r="D79" t="str">
        <x:v>FLUX 2 Pro</x:v>
      </x:c>
      <x:c r="E79" t="str">
        <x:v>C</x:v>
      </x:c>
      <x:c r="F79" t="n">
        <x:v>4</x:v>
      </x:c>
      <x:c r="G79" t="n">
        <x:v>2</x:v>
      </x:c>
      <x:c r="H79" t="n">
        <x:v>46292.27393127315</x:v>
      </x:c>
      <x:c r="I79" t="str">
        <x:v>A luxury perfume bottle with a square glass silhouette and gold cap, photographed on a plain grey studio background with soft shadows, product photography style.</x:v>
      </x:c>
      <x:c r="J79" t="str">
        <x:v>benchmark/results/images/bfl/4229ba19_PO-01.png</x:v>
      </x:c>
    </x:row>
    <x:row r="80">
      <x:c r="A80" t="str">
        <x:v>E01</x:v>
      </x:c>
      <x:c r="B80" t="str">
        <x:v>PO-01</x:v>
      </x:c>
      <x:c r="C80" t="str">
        <x:v>Products &amp; objects</x:v>
      </x:c>
      <x:c r="D80" t="str">
        <x:v>Gemini 3.1 Flash Image</x:v>
      </x:c>
      <x:c r="E80" t="str">
        <x:v>D</x:v>
      </x:c>
      <x:c r="F80" t="n">
        <x:v>1</x:v>
      </x:c>
      <x:c r="G80" t="n">
        <x:v>5</x:v>
      </x:c>
      <x:c r="H80" t="n">
        <x:v>46292.27393127315</x:v>
      </x:c>
      <x:c r="I80" t="str">
        <x:v>A luxury perfume bottle with a square glass silhouette and gold cap, photographed on a plain grey studio background with soft shadows, product photography style.</x:v>
      </x:c>
      <x:c r="J80" t="str">
        <x:v>benchmark/results/images/google/ab9f43fe_PO-01.png</x:v>
      </x:c>
    </x:row>
    <x:row r="81">
      <x:c r="A81" t="str">
        <x:v>E01</x:v>
      </x:c>
      <x:c r="B81" t="str">
        <x:v>PO-01</x:v>
      </x:c>
      <x:c r="C81" t="str">
        <x:v>Products &amp; objects</x:v>
      </x:c>
      <x:c r="D81" t="str">
        <x:v>Z-Image Turbo</x:v>
      </x:c>
      <x:c r="E81" t="str">
        <x:v>E</x:v>
      </x:c>
      <x:c r="F81" t="n">
        <x:v>3</x:v>
      </x:c>
      <x:c r="G81" t="n">
        <x:v>3</x:v>
      </x:c>
      <x:c r="H81" t="n">
        <x:v>46292.27393127315</x:v>
      </x:c>
      <x:c r="I81" t="str">
        <x:v>A luxury perfume bottle with a square glass silhouette and gold cap, photographed on a plain grey studio background with soft shadows, product photography style.</x:v>
      </x:c>
      <x:c r="J81" t="str">
        <x:v>benchmark/results/open_source/z-image-turbo/w4/512/images/PO-01.png</x:v>
      </x:c>
    </x:row>
    <x:row r="82">
      <x:c r="A82" t="str">
        <x:v>E01</x:v>
      </x:c>
      <x:c r="B82" t="str">
        <x:v>PO-02</x:v>
      </x:c>
      <x:c r="C82" t="str">
        <x:v>Products &amp; objects</x:v>
      </x:c>
      <x:c r="D82" t="str">
        <x:v>FLUX 2 Pro</x:v>
      </x:c>
      <x:c r="E82" t="str">
        <x:v>A</x:v>
      </x:c>
      <x:c r="F82" t="n">
        <x:v>4</x:v>
      </x:c>
      <x:c r="G82" t="n">
        <x:v>2</x:v>
      </x:c>
      <x:c r="H82" t="n">
        <x:v>46292.27413881944</x:v>
      </x:c>
      <x:c r="I82" t="str">
        <x:v>A round crystal perfume bottle with an amber-colored liquid, photographed on a marble countertop with soft natural light.</x:v>
      </x:c>
      <x:c r="J82" t="str">
        <x:v>benchmark/results/images/bfl/4229ba19_PO-02.png</x:v>
      </x:c>
    </x:row>
    <x:row r="83">
      <x:c r="A83" t="str">
        <x:v>E01</x:v>
      </x:c>
      <x:c r="B83" t="str">
        <x:v>PO-02</x:v>
      </x:c>
      <x:c r="C83" t="str">
        <x:v>Products &amp; objects</x:v>
      </x:c>
      <x:c r="D83" t="str">
        <x:v>FLUX.2 Klein 4B</x:v>
      </x:c>
      <x:c r="E83" t="str">
        <x:v>B</x:v>
      </x:c>
      <x:c r="F83" t="n">
        <x:v>5</x:v>
      </x:c>
      <x:c r="G83" t="n">
        <x:v>1</x:v>
      </x:c>
      <x:c r="H83" t="n">
        <x:v>46292.27413881944</x:v>
      </x:c>
      <x:c r="I83" t="str">
        <x:v>A round crystal perfume bottle with an amber-colored liquid, photographed on a marble countertop with soft natural light.</x:v>
      </x:c>
      <x:c r="J83" t="str">
        <x:v>benchmark/results/open_source/flux2-klein/q4_k_m/512/images/2a0777a6_PO-02.png</x:v>
      </x:c>
    </x:row>
    <x:row r="84">
      <x:c r="A84" t="str">
        <x:v>E01</x:v>
      </x:c>
      <x:c r="B84" t="str">
        <x:v>PO-02</x:v>
      </x:c>
      <x:c r="C84" t="str">
        <x:v>Products &amp; objects</x:v>
      </x:c>
      <x:c r="D84" t="str">
        <x:v>Gemini 3.1 Flash Image</x:v>
      </x:c>
      <x:c r="E84" t="str">
        <x:v>C</x:v>
      </x:c>
      <x:c r="F84" t="n">
        <x:v>1</x:v>
      </x:c>
      <x:c r="G84" t="n">
        <x:v>5</x:v>
      </x:c>
      <x:c r="H84" t="n">
        <x:v>46292.27413881944</x:v>
      </x:c>
      <x:c r="I84" t="str">
        <x:v>A round crystal perfume bottle with an amber-colored liquid, photographed on a marble countertop with soft natural light.</x:v>
      </x:c>
      <x:c r="J84" t="str">
        <x:v>benchmark/results/images/google/ab9f43fe_PO-02.png</x:v>
      </x:c>
    </x:row>
    <x:row r="85">
      <x:c r="A85" t="str">
        <x:v>E01</x:v>
      </x:c>
      <x:c r="B85" t="str">
        <x:v>PO-02</x:v>
      </x:c>
      <x:c r="C85" t="str">
        <x:v>Products &amp; objects</x:v>
      </x:c>
      <x:c r="D85" t="str">
        <x:v>Z-Image Turbo</x:v>
      </x:c>
      <x:c r="E85" t="str">
        <x:v>D</x:v>
      </x:c>
      <x:c r="F85" t="n">
        <x:v>3</x:v>
      </x:c>
      <x:c r="G85" t="n">
        <x:v>3</x:v>
      </x:c>
      <x:c r="H85" t="n">
        <x:v>46292.27413881944</x:v>
      </x:c>
      <x:c r="I85" t="str">
        <x:v>A round crystal perfume bottle with an amber-colored liquid, photographed on a marble countertop with soft natural light.</x:v>
      </x:c>
      <x:c r="J85" t="str">
        <x:v>benchmark/results/open_source/z-image-turbo/w4/512/images/PO-02.png</x:v>
      </x:c>
    </x:row>
    <x:row r="86">
      <x:c r="A86" t="str">
        <x:v>E01</x:v>
      </x:c>
      <x:c r="B86" t="str">
        <x:v>PO-02</x:v>
      </x:c>
      <x:c r="C86" t="str">
        <x:v>Products &amp; objects</x:v>
      </x:c>
      <x:c r="D86" t="str">
        <x:v>GPT Image 2</x:v>
      </x:c>
      <x:c r="E86" t="str">
        <x:v>E</x:v>
      </x:c>
      <x:c r="F86" t="n">
        <x:v>2</x:v>
      </x:c>
      <x:c r="G86" t="n">
        <x:v>4</x:v>
      </x:c>
      <x:c r="H86" t="n">
        <x:v>46292.27413881944</x:v>
      </x:c>
      <x:c r="I86" t="str">
        <x:v>A round crystal perfume bottle with an amber-colored liquid, photographed on a marble countertop with soft natural light.</x:v>
      </x:c>
      <x:c r="J86" t="str">
        <x:v>benchmark/results/images/openai/4229ba19_PO-02.png</x:v>
      </x:c>
    </x:row>
    <x:row r="87">
      <x:c r="A87" t="str">
        <x:v>E01</x:v>
      </x:c>
      <x:c r="B87" t="str">
        <x:v>PO-03</x:v>
      </x:c>
      <x:c r="C87" t="str">
        <x:v>Products &amp; objects</x:v>
      </x:c>
      <x:c r="D87" t="str">
        <x:v>FLUX.2 Klein 4B</x:v>
      </x:c>
      <x:c r="E87" t="str">
        <x:v>A</x:v>
      </x:c>
      <x:c r="F87" t="n">
        <x:v>3</x:v>
      </x:c>
      <x:c r="G87" t="n">
        <x:v>3</x:v>
      </x:c>
      <x:c r="H87" t="n">
        <x:v>46292.27442282408</x:v>
      </x:c>
      <x:c r="I87" t="str">
        <x:v>A trio of perfume bottles of different sizes arranged next to a small green plant and a few scattered rose petals, soft natural lighting.</x:v>
      </x:c>
      <x:c r="J87" t="str">
        <x:v>benchmark/results/open_source/flux2-klein/q4_k_m/512/images/2a0777a6_PO-03.png</x:v>
      </x:c>
    </x:row>
    <x:row r="88">
      <x:c r="A88" t="str">
        <x:v>E01</x:v>
      </x:c>
      <x:c r="B88" t="str">
        <x:v>PO-03</x:v>
      </x:c>
      <x:c r="C88" t="str">
        <x:v>Products &amp; objects</x:v>
      </x:c>
      <x:c r="D88" t="str">
        <x:v>Gemini 3.1 Flash Image</x:v>
      </x:c>
      <x:c r="E88" t="str">
        <x:v>B</x:v>
      </x:c>
      <x:c r="F88" t="n">
        <x:v>1</x:v>
      </x:c>
      <x:c r="G88" t="n">
        <x:v>5</x:v>
      </x:c>
      <x:c r="H88" t="n">
        <x:v>46292.27442282408</x:v>
      </x:c>
      <x:c r="I88" t="str">
        <x:v>A trio of perfume bottles of different sizes arranged next to a small green plant and a few scattered rose petals, soft natural lighting.</x:v>
      </x:c>
      <x:c r="J88" t="str">
        <x:v>benchmark/results/images/google/ab9f43fe_PO-03.png</x:v>
      </x:c>
    </x:row>
    <x:row r="89">
      <x:c r="A89" t="str">
        <x:v>E01</x:v>
      </x:c>
      <x:c r="B89" t="str">
        <x:v>PO-03</x:v>
      </x:c>
      <x:c r="C89" t="str">
        <x:v>Products &amp; objects</x:v>
      </x:c>
      <x:c r="D89" t="str">
        <x:v>FLUX 2 Pro</x:v>
      </x:c>
      <x:c r="E89" t="str">
        <x:v>C</x:v>
      </x:c>
      <x:c r="F89" t="n">
        <x:v>4</x:v>
      </x:c>
      <x:c r="G89" t="n">
        <x:v>2</x:v>
      </x:c>
      <x:c r="H89" t="n">
        <x:v>46292.27442282408</x:v>
      </x:c>
      <x:c r="I89" t="str">
        <x:v>A trio of perfume bottles of different sizes arranged next to a small green plant and a few scattered rose petals, soft natural lighting.</x:v>
      </x:c>
      <x:c r="J89" t="str">
        <x:v>benchmark/results/images/bfl/4229ba19_PO-03.png</x:v>
      </x:c>
    </x:row>
    <x:row r="90">
      <x:c r="A90" t="str">
        <x:v>E01</x:v>
      </x:c>
      <x:c r="B90" t="str">
        <x:v>PO-03</x:v>
      </x:c>
      <x:c r="C90" t="str">
        <x:v>Products &amp; objects</x:v>
      </x:c>
      <x:c r="D90" t="str">
        <x:v>GPT Image 2</x:v>
      </x:c>
      <x:c r="E90" t="str">
        <x:v>D</x:v>
      </x:c>
      <x:c r="F90" t="n">
        <x:v>2</x:v>
      </x:c>
      <x:c r="G90" t="n">
        <x:v>4</x:v>
      </x:c>
      <x:c r="H90" t="n">
        <x:v>46292.27442282408</x:v>
      </x:c>
      <x:c r="I90" t="str">
        <x:v>A trio of perfume bottles of different sizes arranged next to a small green plant and a few scattered rose petals, soft natural lighting.</x:v>
      </x:c>
      <x:c r="J90" t="str">
        <x:v>benchmark/results/images/openai/4229ba19_PO-03.png</x:v>
      </x:c>
    </x:row>
    <x:row r="91">
      <x:c r="A91" t="str">
        <x:v>E01</x:v>
      </x:c>
      <x:c r="B91" t="str">
        <x:v>PO-03</x:v>
      </x:c>
      <x:c r="C91" t="str">
        <x:v>Products &amp; objects</x:v>
      </x:c>
      <x:c r="D91" t="str">
        <x:v>Z-Image Turbo</x:v>
      </x:c>
      <x:c r="E91" t="str">
        <x:v>E</x:v>
      </x:c>
      <x:c r="F91" t="n">
        <x:v>5</x:v>
      </x:c>
      <x:c r="G91" t="n">
        <x:v>1</x:v>
      </x:c>
      <x:c r="H91" t="n">
        <x:v>46292.27442282408</x:v>
      </x:c>
      <x:c r="I91" t="str">
        <x:v>A trio of perfume bottles of different sizes arranged next to a small green plant and a few scattered rose petals, soft natural lighting.</x:v>
      </x:c>
      <x:c r="J91" t="str">
        <x:v>benchmark/results/open_source/z-image-turbo/w4/512/images/PO-03.png</x:v>
      </x:c>
    </x:row>
    <x:row r="92">
      <x:c r="A92" t="str">
        <x:v>E01</x:v>
      </x:c>
      <x:c r="B92" t="str">
        <x:v>PO-04</x:v>
      </x:c>
      <x:c r="C92" t="str">
        <x:v>Products &amp; objects</x:v>
      </x:c>
      <x:c r="D92" t="str">
        <x:v>GPT Image 2</x:v>
      </x:c>
      <x:c r="E92" t="str">
        <x:v>A</x:v>
      </x:c>
      <x:c r="F92" t="n">
        <x:v>2</x:v>
      </x:c>
      <x:c r="G92" t="n">
        <x:v>4</x:v>
      </x:c>
      <x:c r="H92" t="n">
        <x:v>46292.27521670139</x:v>
      </x:c>
      <x:c r="I92" t="str">
        <x:v>A tall slender perfume bottle standing on a wooden surface, photographed from a slight low angle, warm dramatic side lighting.</x:v>
      </x:c>
      <x:c r="J92" t="str">
        <x:v>benchmark/results/images/openai/4229ba19_PO-04.png</x:v>
      </x:c>
    </x:row>
    <x:row r="93">
      <x:c r="A93" t="str">
        <x:v>E01</x:v>
      </x:c>
      <x:c r="B93" t="str">
        <x:v>PO-04</x:v>
      </x:c>
      <x:c r="C93" t="str">
        <x:v>Products &amp; objects</x:v>
      </x:c>
      <x:c r="D93" t="str">
        <x:v>FLUX 2 Pro</x:v>
      </x:c>
      <x:c r="E93" t="str">
        <x:v>B</x:v>
      </x:c>
      <x:c r="F93" t="n">
        <x:v>1</x:v>
      </x:c>
      <x:c r="G93" t="n">
        <x:v>5</x:v>
      </x:c>
      <x:c r="H93" t="n">
        <x:v>46292.27521670139</x:v>
      </x:c>
      <x:c r="I93" t="str">
        <x:v>A tall slender perfume bottle standing on a wooden surface, photographed from a slight low angle, warm dramatic side lighting.</x:v>
      </x:c>
      <x:c r="J93" t="str">
        <x:v>benchmark/results/images/bfl/4229ba19_PO-04.png</x:v>
      </x:c>
    </x:row>
    <x:row r="94">
      <x:c r="A94" t="str">
        <x:v>E01</x:v>
      </x:c>
      <x:c r="B94" t="str">
        <x:v>PO-04</x:v>
      </x:c>
      <x:c r="C94" t="str">
        <x:v>Products &amp; objects</x:v>
      </x:c>
      <x:c r="D94" t="str">
        <x:v>Z-Image Turbo</x:v>
      </x:c>
      <x:c r="E94" t="str">
        <x:v>C</x:v>
      </x:c>
      <x:c r="F94" t="n">
        <x:v>5</x:v>
      </x:c>
      <x:c r="G94" t="n">
        <x:v>1</x:v>
      </x:c>
      <x:c r="H94" t="n">
        <x:v>46292.27521670139</x:v>
      </x:c>
      <x:c r="I94" t="str">
        <x:v>A tall slender perfume bottle standing on a wooden surface, photographed from a slight low angle, warm dramatic side lighting.</x:v>
      </x:c>
      <x:c r="J94" t="str">
        <x:v>benchmark/results/open_source/z-image-turbo/w4/512/images/PO-04.png</x:v>
      </x:c>
    </x:row>
    <x:row r="95">
      <x:c r="A95" t="str">
        <x:v>E01</x:v>
      </x:c>
      <x:c r="B95" t="str">
        <x:v>PO-04</x:v>
      </x:c>
      <x:c r="C95" t="str">
        <x:v>Products &amp; objects</x:v>
      </x:c>
      <x:c r="D95" t="str">
        <x:v>Gemini 3.1 Flash Image</x:v>
      </x:c>
      <x:c r="E95" t="str">
        <x:v>D</x:v>
      </x:c>
      <x:c r="F95" t="n">
        <x:v>3</x:v>
      </x:c>
      <x:c r="G95" t="n">
        <x:v>3</x:v>
      </x:c>
      <x:c r="H95" t="n">
        <x:v>46292.27521670139</x:v>
      </x:c>
      <x:c r="I95" t="str">
        <x:v>A tall slender perfume bottle standing on a wooden surface, photographed from a slight low angle, warm dramatic side lighting.</x:v>
      </x:c>
      <x:c r="J95" t="str">
        <x:v>benchmark/results/images/google/ab9f43fe_PO-04.png</x:v>
      </x:c>
    </x:row>
    <x:row r="96">
      <x:c r="A96" t="str">
        <x:v>E01</x:v>
      </x:c>
      <x:c r="B96" t="str">
        <x:v>PO-04</x:v>
      </x:c>
      <x:c r="C96" t="str">
        <x:v>Products &amp; objects</x:v>
      </x:c>
      <x:c r="D96" t="str">
        <x:v>FLUX.2 Klein 4B</x:v>
      </x:c>
      <x:c r="E96" t="str">
        <x:v>E</x:v>
      </x:c>
      <x:c r="F96" t="n">
        <x:v>4</x:v>
      </x:c>
      <x:c r="G96" t="n">
        <x:v>2</x:v>
      </x:c>
      <x:c r="H96" t="n">
        <x:v>46292.27521670139</x:v>
      </x:c>
      <x:c r="I96" t="str">
        <x:v>A tall slender perfume bottle standing on a wooden surface, photographed from a slight low angle, warm dramatic side lighting.</x:v>
      </x:c>
      <x:c r="J96" t="str">
        <x:v>benchmark/results/open_source/flux2-klein/q4_k_m/512/images/2a0777a6_PO-04.png</x:v>
      </x:c>
    </x:row>
    <x:row r="97">
      <x:c r="A97" t="str">
        <x:v>E01</x:v>
      </x:c>
      <x:c r="B97" t="str">
        <x:v>PO-05</x:v>
      </x:c>
      <x:c r="C97" t="str">
        <x:v>Products &amp; objects</x:v>
      </x:c>
      <x:c r="D97" t="str">
        <x:v>Gemini 3.1 Flash Image</x:v>
      </x:c>
      <x:c r="E97" t="str">
        <x:v>A</x:v>
      </x:c>
      <x:c r="F97" t="n">
        <x:v>1</x:v>
      </x:c>
      <x:c r="G97" t="n">
        <x:v>5</x:v>
      </x:c>
      <x:c r="H97" t="n">
        <x:v>46292.27578888889</x:v>
      </x:c>
      <x:c r="I97" t="str">
        <x:v>A perfume bottle with its box slightly open beside it, floating layout on a bright blue gradient background.</x:v>
      </x:c>
      <x:c r="J97" t="str">
        <x:v>benchmark/results/images/google/ab9f43fe_PO-05.png</x:v>
      </x:c>
    </x:row>
    <x:row r="98">
      <x:c r="A98" t="str">
        <x:v>E01</x:v>
      </x:c>
      <x:c r="B98" t="str">
        <x:v>PO-05</x:v>
      </x:c>
      <x:c r="C98" t="str">
        <x:v>Products &amp; objects</x:v>
      </x:c>
      <x:c r="D98" t="str">
        <x:v>GPT Image 2</x:v>
      </x:c>
      <x:c r="E98" t="str">
        <x:v>B</x:v>
      </x:c>
      <x:c r="F98" t="n">
        <x:v>4</x:v>
      </x:c>
      <x:c r="G98" t="n">
        <x:v>2</x:v>
      </x:c>
      <x:c r="H98" t="n">
        <x:v>46292.27578888889</x:v>
      </x:c>
      <x:c r="I98" t="str">
        <x:v>A perfume bottle with its box slightly open beside it, floating layout on a bright blue gradient background.</x:v>
      </x:c>
      <x:c r="J98" t="str">
        <x:v>benchmark/results/images/openai/4229ba19_PO-05.png</x:v>
      </x:c>
    </x:row>
    <x:row r="99">
      <x:c r="A99" t="str">
        <x:v>E01</x:v>
      </x:c>
      <x:c r="B99" t="str">
        <x:v>PO-05</x:v>
      </x:c>
      <x:c r="C99" t="str">
        <x:v>Products &amp; objects</x:v>
      </x:c>
      <x:c r="D99" t="str">
        <x:v>Z-Image Turbo</x:v>
      </x:c>
      <x:c r="E99" t="str">
        <x:v>C</x:v>
      </x:c>
      <x:c r="F99" t="n">
        <x:v>5</x:v>
      </x:c>
      <x:c r="G99" t="n">
        <x:v>1</x:v>
      </x:c>
      <x:c r="H99" t="n">
        <x:v>46292.27578888889</x:v>
      </x:c>
      <x:c r="I99" t="str">
        <x:v>A perfume bottle with its box slightly open beside it, floating layout on a bright blue gradient background.</x:v>
      </x:c>
      <x:c r="J99" t="str">
        <x:v>benchmark/results/open_source/z-image-turbo/w4/512/images/PO-05.png</x:v>
      </x:c>
    </x:row>
    <x:row r="100">
      <x:c r="A100" t="str">
        <x:v>E01</x:v>
      </x:c>
      <x:c r="B100" t="str">
        <x:v>PO-05</x:v>
      </x:c>
      <x:c r="C100" t="str">
        <x:v>Products &amp; objects</x:v>
      </x:c>
      <x:c r="D100" t="str">
        <x:v>FLUX 2 Pro</x:v>
      </x:c>
      <x:c r="E100" t="str">
        <x:v>D</x:v>
      </x:c>
      <x:c r="F100" t="n">
        <x:v>2</x:v>
      </x:c>
      <x:c r="G100" t="n">
        <x:v>4</x:v>
      </x:c>
      <x:c r="H100" t="n">
        <x:v>46292.27578888889</x:v>
      </x:c>
      <x:c r="I100" t="str">
        <x:v>A perfume bottle with its box slightly open beside it, floating layout on a bright blue gradient background.</x:v>
      </x:c>
      <x:c r="J100" t="str">
        <x:v>benchmark/results/images/bfl/4229ba19_PO-05.png</x:v>
      </x:c>
    </x:row>
    <x:row r="101">
      <x:c r="A101" t="str">
        <x:v>E01</x:v>
      </x:c>
      <x:c r="B101" t="str">
        <x:v>PO-05</x:v>
      </x:c>
      <x:c r="C101" t="str">
        <x:v>Products &amp; objects</x:v>
      </x:c>
      <x:c r="D101" t="str">
        <x:v>FLUX.2 Klein 4B</x:v>
      </x:c>
      <x:c r="E101" t="str">
        <x:v>E</x:v>
      </x:c>
      <x:c r="F101" t="n">
        <x:v>3</x:v>
      </x:c>
      <x:c r="G101" t="n">
        <x:v>3</x:v>
      </x:c>
      <x:c r="H101" t="n">
        <x:v>46292.27578888889</x:v>
      </x:c>
      <x:c r="I101" t="str">
        <x:v>A perfume bottle with its box slightly open beside it, floating layout on a bright blue gradient background.</x:v>
      </x:c>
      <x:c r="J101" t="str">
        <x:v>benchmark/results/open_source/flux2-klein/q4_k_m/512/images/2a0777a6_PO-05.png</x:v>
      </x:c>
    </x:row>
    <x:row r="102">
      <x:c r="A102" t="str">
        <x:v>E01</x:v>
      </x:c>
      <x:c r="B102" t="str">
        <x:v>CC-01</x:v>
      </x:c>
      <x:c r="C102" t="str">
        <x:v>Complex compositions</x:v>
      </x:c>
      <x:c r="D102" t="str">
        <x:v>Z-Image Turbo</x:v>
      </x:c>
      <x:c r="E102" t="str">
        <x:v>A</x:v>
      </x:c>
      <x:c r="F102" t="n">
        <x:v>1</x:v>
      </x:c>
      <x:c r="G102" t="n">
        <x:v>5</x:v>
      </x:c>
      <x:c r="H102" t="n">
        <x:v>46292.27653964121</x:v>
      </x:c>
      <x:c r="I102"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102" t="str">
        <x:v>benchmark/results/open_source/z-image-turbo/w4/512/images/CC-01.png</x:v>
      </x:c>
    </x:row>
    <x:row r="103">
      <x:c r="A103" t="str">
        <x:v>E01</x:v>
      </x:c>
      <x:c r="B103" t="str">
        <x:v>CC-01</x:v>
      </x:c>
      <x:c r="C103" t="str">
        <x:v>Complex compositions</x:v>
      </x:c>
      <x:c r="D103" t="str">
        <x:v>FLUX.2 Klein 4B</x:v>
      </x:c>
      <x:c r="E103" t="str">
        <x:v>B</x:v>
      </x:c>
      <x:c r="F103" t="n">
        <x:v>5</x:v>
      </x:c>
      <x:c r="G103" t="n">
        <x:v>1</x:v>
      </x:c>
      <x:c r="H103" t="n">
        <x:v>46292.27653964121</x:v>
      </x:c>
      <x:c r="I103"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103" t="str">
        <x:v>benchmark/results/open_source/flux2-klein/q4_k_m/512/images/2a0777a6_CC-01.png</x:v>
      </x:c>
    </x:row>
    <x:row r="104">
      <x:c r="A104" t="str">
        <x:v>E01</x:v>
      </x:c>
      <x:c r="B104" t="str">
        <x:v>CC-01</x:v>
      </x:c>
      <x:c r="C104" t="str">
        <x:v>Complex compositions</x:v>
      </x:c>
      <x:c r="D104" t="str">
        <x:v>FLUX 2 Pro</x:v>
      </x:c>
      <x:c r="E104" t="str">
        <x:v>C</x:v>
      </x:c>
      <x:c r="F104" t="n">
        <x:v>2</x:v>
      </x:c>
      <x:c r="G104" t="n">
        <x:v>4</x:v>
      </x:c>
      <x:c r="H104" t="n">
        <x:v>46292.27653964121</x:v>
      </x:c>
      <x:c r="I104"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104" t="str">
        <x:v>benchmark/results/images/bfl/4229ba19_CC-01.png</x:v>
      </x:c>
    </x:row>
    <x:row r="105">
      <x:c r="A105" t="str">
        <x:v>E01</x:v>
      </x:c>
      <x:c r="B105" t="str">
        <x:v>CC-01</x:v>
      </x:c>
      <x:c r="C105" t="str">
        <x:v>Complex compositions</x:v>
      </x:c>
      <x:c r="D105" t="str">
        <x:v>GPT Image 2</x:v>
      </x:c>
      <x:c r="E105" t="str">
        <x:v>D</x:v>
      </x:c>
      <x:c r="F105" t="n">
        <x:v>4</x:v>
      </x:c>
      <x:c r="G105" t="n">
        <x:v>2</x:v>
      </x:c>
      <x:c r="H105" t="n">
        <x:v>46292.27653964121</x:v>
      </x:c>
      <x:c r="I105"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105" t="str">
        <x:v>benchmark/results/images/openai/4229ba19_CC-01.png</x:v>
      </x:c>
    </x:row>
    <x:row r="106">
      <x:c r="A106" t="str">
        <x:v>E01</x:v>
      </x:c>
      <x:c r="B106" t="str">
        <x:v>CC-01</x:v>
      </x:c>
      <x:c r="C106" t="str">
        <x:v>Complex compositions</x:v>
      </x:c>
      <x:c r="D106" t="str">
        <x:v>Gemini 3.1 Flash Image</x:v>
      </x:c>
      <x:c r="E106" t="str">
        <x:v>E</x:v>
      </x:c>
      <x:c r="F106" t="n">
        <x:v>3</x:v>
      </x:c>
      <x:c r="G106" t="n">
        <x:v>3</x:v>
      </x:c>
      <x:c r="H106" t="n">
        <x:v>46292.27653964121</x:v>
      </x:c>
      <x:c r="I106"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106" t="str">
        <x:v>benchmark/results/images/google/ab9f43fe_CC-01.png</x:v>
      </x:c>
    </x:row>
    <x:row r="107">
      <x:c r="A107" t="str">
        <x:v>E01</x:v>
      </x:c>
      <x:c r="B107" t="str">
        <x:v>CC-02</x:v>
      </x:c>
      <x:c r="C107" t="str">
        <x:v>Complex compositions</x:v>
      </x:c>
      <x:c r="D107" t="str">
        <x:v>FLUX.2 Klein 4B</x:v>
      </x:c>
      <x:c r="E107" t="str">
        <x:v>A</x:v>
      </x:c>
      <x:c r="F107" t="n">
        <x:v>3</x:v>
      </x:c>
      <x:c r="G107" t="n">
        <x:v>3</x:v>
      </x:c>
      <x:c r="H107" t="n">
        <x:v>46292.2771059375</x:v>
      </x:c>
      <x:c r="I107"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107" t="str">
        <x:v>benchmark/results/open_source/flux2-klein/q4_k_m/512/images/2a0777a6_CC-02.png</x:v>
      </x:c>
    </x:row>
    <x:row r="108">
      <x:c r="A108" t="str">
        <x:v>E01</x:v>
      </x:c>
      <x:c r="B108" t="str">
        <x:v>CC-02</x:v>
      </x:c>
      <x:c r="C108" t="str">
        <x:v>Complex compositions</x:v>
      </x:c>
      <x:c r="D108" t="str">
        <x:v>Gemini 3.1 Flash Image</x:v>
      </x:c>
      <x:c r="E108" t="str">
        <x:v>B</x:v>
      </x:c>
      <x:c r="F108" t="n">
        <x:v>2</x:v>
      </x:c>
      <x:c r="G108" t="n">
        <x:v>4</x:v>
      </x:c>
      <x:c r="H108" t="n">
        <x:v>46292.2771059375</x:v>
      </x:c>
      <x:c r="I108"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108" t="str">
        <x:v>benchmark/results/images/google/ab9f43fe_CC-02.png</x:v>
      </x:c>
    </x:row>
    <x:row r="109">
      <x:c r="A109" t="str">
        <x:v>E01</x:v>
      </x:c>
      <x:c r="B109" t="str">
        <x:v>CC-02</x:v>
      </x:c>
      <x:c r="C109" t="str">
        <x:v>Complex compositions</x:v>
      </x:c>
      <x:c r="D109" t="str">
        <x:v>FLUX 2 Pro</x:v>
      </x:c>
      <x:c r="E109" t="str">
        <x:v>C</x:v>
      </x:c>
      <x:c r="F109" t="n">
        <x:v>5</x:v>
      </x:c>
      <x:c r="G109" t="n">
        <x:v>1</x:v>
      </x:c>
      <x:c r="H109" t="n">
        <x:v>46292.2771059375</x:v>
      </x:c>
      <x:c r="I109"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109" t="str">
        <x:v>benchmark/results/images/bfl/4229ba19_CC-02.png</x:v>
      </x:c>
    </x:row>
    <x:row r="110">
      <x:c r="A110" t="str">
        <x:v>E01</x:v>
      </x:c>
      <x:c r="B110" t="str">
        <x:v>CC-02</x:v>
      </x:c>
      <x:c r="C110" t="str">
        <x:v>Complex compositions</x:v>
      </x:c>
      <x:c r="D110" t="str">
        <x:v>GPT Image 2</x:v>
      </x:c>
      <x:c r="E110" t="str">
        <x:v>D</x:v>
      </x:c>
      <x:c r="F110" t="n">
        <x:v>1</x:v>
      </x:c>
      <x:c r="G110" t="n">
        <x:v>5</x:v>
      </x:c>
      <x:c r="H110" t="n">
        <x:v>46292.2771059375</x:v>
      </x:c>
      <x:c r="I110"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110" t="str">
        <x:v>benchmark/results/images/openai/4229ba19_CC-02.png</x:v>
      </x:c>
    </x:row>
    <x:row r="111">
      <x:c r="A111" t="str">
        <x:v>E01</x:v>
      </x:c>
      <x:c r="B111" t="str">
        <x:v>CC-02</x:v>
      </x:c>
      <x:c r="C111" t="str">
        <x:v>Complex compositions</x:v>
      </x:c>
      <x:c r="D111" t="str">
        <x:v>Z-Image Turbo</x:v>
      </x:c>
      <x:c r="E111" t="str">
        <x:v>E</x:v>
      </x:c>
      <x:c r="F111" t="n">
        <x:v>4</x:v>
      </x:c>
      <x:c r="G111" t="n">
        <x:v>2</x:v>
      </x:c>
      <x:c r="H111" t="n">
        <x:v>46292.2771059375</x:v>
      </x:c>
      <x:c r="I111"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111" t="str">
        <x:v>benchmark/results/open_source/z-image-turbo/w4/512/images/CC-02.png</x:v>
      </x:c>
    </x:row>
    <x:row r="112">
      <x:c r="A112" t="str">
        <x:v>E01</x:v>
      </x:c>
      <x:c r="B112" t="str">
        <x:v>CC-03</x:v>
      </x:c>
      <x:c r="C112" t="str">
        <x:v>Complex compositions</x:v>
      </x:c>
      <x:c r="D112" t="str">
        <x:v>Z-Image Turbo</x:v>
      </x:c>
      <x:c r="E112" t="str">
        <x:v>A</x:v>
      </x:c>
      <x:c r="F112" t="n">
        <x:v>3</x:v>
      </x:c>
      <x:c r="G112" t="n">
        <x:v>3</x:v>
      </x:c>
      <x:c r="H112" t="n">
        <x:v>46292.27763966435</x:v>
      </x:c>
      <x:c r="I112"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112" t="str">
        <x:v>benchmark/results/open_source/z-image-turbo/w4/512/images/CC-03.png</x:v>
      </x:c>
    </x:row>
    <x:row r="113">
      <x:c r="A113" t="str">
        <x:v>E01</x:v>
      </x:c>
      <x:c r="B113" t="str">
        <x:v>CC-03</x:v>
      </x:c>
      <x:c r="C113" t="str">
        <x:v>Complex compositions</x:v>
      </x:c>
      <x:c r="D113" t="str">
        <x:v>GPT Image 2</x:v>
      </x:c>
      <x:c r="E113" t="str">
        <x:v>B</x:v>
      </x:c>
      <x:c r="F113" t="n">
        <x:v>2</x:v>
      </x:c>
      <x:c r="G113" t="n">
        <x:v>4</x:v>
      </x:c>
      <x:c r="H113" t="n">
        <x:v>46292.27763966435</x:v>
      </x:c>
      <x:c r="I113"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113" t="str">
        <x:v>benchmark/results/images/openai/4229ba19_CC-03.png</x:v>
      </x:c>
    </x:row>
    <x:row r="114">
      <x:c r="A114" t="str">
        <x:v>E01</x:v>
      </x:c>
      <x:c r="B114" t="str">
        <x:v>CC-03</x:v>
      </x:c>
      <x:c r="C114" t="str">
        <x:v>Complex compositions</x:v>
      </x:c>
      <x:c r="D114" t="str">
        <x:v>FLUX.2 Klein 4B</x:v>
      </x:c>
      <x:c r="E114" t="str">
        <x:v>C</x:v>
      </x:c>
      <x:c r="F114" t="n">
        <x:v>4</x:v>
      </x:c>
      <x:c r="G114" t="n">
        <x:v>2</x:v>
      </x:c>
      <x:c r="H114" t="n">
        <x:v>46292.27763966435</x:v>
      </x:c>
      <x:c r="I114"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114" t="str">
        <x:v>benchmark/results/open_source/flux2-klein/q4_k_m/512/images/2a0777a6_CC-03.png</x:v>
      </x:c>
    </x:row>
    <x:row r="115">
      <x:c r="A115" t="str">
        <x:v>E01</x:v>
      </x:c>
      <x:c r="B115" t="str">
        <x:v>CC-03</x:v>
      </x:c>
      <x:c r="C115" t="str">
        <x:v>Complex compositions</x:v>
      </x:c>
      <x:c r="D115" t="str">
        <x:v>FLUX 2 Pro</x:v>
      </x:c>
      <x:c r="E115" t="str">
        <x:v>D</x:v>
      </x:c>
      <x:c r="F115" t="n">
        <x:v>1</x:v>
      </x:c>
      <x:c r="G115" t="n">
        <x:v>5</x:v>
      </x:c>
      <x:c r="H115" t="n">
        <x:v>46292.27763966435</x:v>
      </x:c>
      <x:c r="I115"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115" t="str">
        <x:v>benchmark/results/images/bfl/4229ba19_CC-03.png</x:v>
      </x:c>
    </x:row>
    <x:row r="116">
      <x:c r="A116" t="str">
        <x:v>E01</x:v>
      </x:c>
      <x:c r="B116" t="str">
        <x:v>CC-03</x:v>
      </x:c>
      <x:c r="C116" t="str">
        <x:v>Complex compositions</x:v>
      </x:c>
      <x:c r="D116" t="str">
        <x:v>Gemini 3.1 Flash Image</x:v>
      </x:c>
      <x:c r="E116" t="str">
        <x:v>E</x:v>
      </x:c>
      <x:c r="F116" t="n">
        <x:v>5</x:v>
      </x:c>
      <x:c r="G116" t="n">
        <x:v>1</x:v>
      </x:c>
      <x:c r="H116" t="n">
        <x:v>46292.27763966435</x:v>
      </x:c>
      <x:c r="I116"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116" t="str">
        <x:v>benchmark/results/images/google/ab9f43fe_CC-03.png</x:v>
      </x:c>
    </x:row>
    <x:row r="117">
      <x:c r="A117" t="str">
        <x:v>E01</x:v>
      </x:c>
      <x:c r="B117" t="str">
        <x:v>CC-04</x:v>
      </x:c>
      <x:c r="C117" t="str">
        <x:v>Complex compositions</x:v>
      </x:c>
      <x:c r="D117" t="str">
        <x:v>Z-Image Turbo</x:v>
      </x:c>
      <x:c r="E117" t="str">
        <x:v>A</x:v>
      </x:c>
      <x:c r="F117" t="n">
        <x:v>3</x:v>
      </x:c>
      <x:c r="G117" t="n">
        <x:v>3</x:v>
      </x:c>
      <x:c r="H117" t="n">
        <x:v>46292.27830917824</x:v>
      </x:c>
      <x:c r="I117"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117" t="str">
        <x:v>benchmark/results/open_source/z-image-turbo/w4/512/images/CC-04.png</x:v>
      </x:c>
    </x:row>
    <x:row r="118">
      <x:c r="A118" t="str">
        <x:v>E01</x:v>
      </x:c>
      <x:c r="B118" t="str">
        <x:v>CC-04</x:v>
      </x:c>
      <x:c r="C118" t="str">
        <x:v>Complex compositions</x:v>
      </x:c>
      <x:c r="D118" t="str">
        <x:v>FLUX.2 Klein 4B</x:v>
      </x:c>
      <x:c r="E118" t="str">
        <x:v>B</x:v>
      </x:c>
      <x:c r="F118" t="n">
        <x:v>4</x:v>
      </x:c>
      <x:c r="G118" t="n">
        <x:v>2</x:v>
      </x:c>
      <x:c r="H118" t="n">
        <x:v>46292.27830917824</x:v>
      </x:c>
      <x:c r="I118"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118" t="str">
        <x:v>benchmark/results/open_source/flux2-klein/q4_k_m/512/images/2a0777a6_CC-04.png</x:v>
      </x:c>
    </x:row>
    <x:row r="119">
      <x:c r="A119" t="str">
        <x:v>E01</x:v>
      </x:c>
      <x:c r="B119" t="str">
        <x:v>CC-04</x:v>
      </x:c>
      <x:c r="C119" t="str">
        <x:v>Complex compositions</x:v>
      </x:c>
      <x:c r="D119" t="str">
        <x:v>GPT Image 2</x:v>
      </x:c>
      <x:c r="E119" t="str">
        <x:v>C</x:v>
      </x:c>
      <x:c r="F119" t="n">
        <x:v>1</x:v>
      </x:c>
      <x:c r="G119" t="n">
        <x:v>5</x:v>
      </x:c>
      <x:c r="H119" t="n">
        <x:v>46292.27830917824</x:v>
      </x:c>
      <x:c r="I119"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119" t="str">
        <x:v>benchmark/results/images/openai/4229ba19_CC-04.png</x:v>
      </x:c>
    </x:row>
    <x:row r="120">
      <x:c r="A120" t="str">
        <x:v>E01</x:v>
      </x:c>
      <x:c r="B120" t="str">
        <x:v>CC-04</x:v>
      </x:c>
      <x:c r="C120" t="str">
        <x:v>Complex compositions</x:v>
      </x:c>
      <x:c r="D120" t="str">
        <x:v>Gemini 3.1 Flash Image</x:v>
      </x:c>
      <x:c r="E120" t="str">
        <x:v>D</x:v>
      </x:c>
      <x:c r="F120" t="n">
        <x:v>2</x:v>
      </x:c>
      <x:c r="G120" t="n">
        <x:v>4</x:v>
      </x:c>
      <x:c r="H120" t="n">
        <x:v>46292.27830917824</x:v>
      </x:c>
      <x:c r="I120"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120" t="str">
        <x:v>benchmark/results/images/google/ab9f43fe_CC-04.png</x:v>
      </x:c>
    </x:row>
    <x:row r="121">
      <x:c r="A121" t="str">
        <x:v>E01</x:v>
      </x:c>
      <x:c r="B121" t="str">
        <x:v>CC-04</x:v>
      </x:c>
      <x:c r="C121" t="str">
        <x:v>Complex compositions</x:v>
      </x:c>
      <x:c r="D121" t="str">
        <x:v>FLUX 2 Pro</x:v>
      </x:c>
      <x:c r="E121" t="str">
        <x:v>E</x:v>
      </x:c>
      <x:c r="F121" t="n">
        <x:v>5</x:v>
      </x:c>
      <x:c r="G121" t="n">
        <x:v>1</x:v>
      </x:c>
      <x:c r="H121" t="n">
        <x:v>46292.27830917824</x:v>
      </x:c>
      <x:c r="I121"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121" t="str">
        <x:v>benchmark/results/images/bfl/4229ba19_CC-04.png</x:v>
      </x:c>
    </x:row>
    <x:row r="122">
      <x:c r="A122" t="str">
        <x:v>E01</x:v>
      </x:c>
      <x:c r="B122" t="str">
        <x:v>CC-05</x:v>
      </x:c>
      <x:c r="C122" t="str">
        <x:v>Complex compositions</x:v>
      </x:c>
      <x:c r="D122" t="str">
        <x:v>Gemini 3.1 Flash Image</x:v>
      </x:c>
      <x:c r="E122" t="str">
        <x:v>A</x:v>
      </x:c>
      <x:c r="F122" t="n">
        <x:v>5</x:v>
      </x:c>
      <x:c r="G122" t="n">
        <x:v>1</x:v>
      </x:c>
      <x:c r="H122" t="n">
        <x:v>46292.27876649306</x:v>
      </x:c>
      <x:c r="I122"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122" t="str">
        <x:v>benchmark/results/images/google/ab9f43fe_CC-05.png</x:v>
      </x:c>
    </x:row>
    <x:row r="123">
      <x:c r="A123" t="str">
        <x:v>E01</x:v>
      </x:c>
      <x:c r="B123" t="str">
        <x:v>CC-05</x:v>
      </x:c>
      <x:c r="C123" t="str">
        <x:v>Complex compositions</x:v>
      </x:c>
      <x:c r="D123" t="str">
        <x:v>FLUX.2 Klein 4B</x:v>
      </x:c>
      <x:c r="E123" t="str">
        <x:v>B</x:v>
      </x:c>
      <x:c r="F123" t="n">
        <x:v>4</x:v>
      </x:c>
      <x:c r="G123" t="n">
        <x:v>2</x:v>
      </x:c>
      <x:c r="H123" t="n">
        <x:v>46292.27876649306</x:v>
      </x:c>
      <x:c r="I123"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123" t="str">
        <x:v>benchmark/results/open_source/flux2-klein/q4_k_m/512/images/2a0777a6_CC-05.png</x:v>
      </x:c>
    </x:row>
    <x:row r="124">
      <x:c r="A124" t="str">
        <x:v>E01</x:v>
      </x:c>
      <x:c r="B124" t="str">
        <x:v>CC-05</x:v>
      </x:c>
      <x:c r="C124" t="str">
        <x:v>Complex compositions</x:v>
      </x:c>
      <x:c r="D124" t="str">
        <x:v>FLUX 2 Pro</x:v>
      </x:c>
      <x:c r="E124" t="str">
        <x:v>C</x:v>
      </x:c>
      <x:c r="F124" t="n">
        <x:v>3</x:v>
      </x:c>
      <x:c r="G124" t="n">
        <x:v>3</x:v>
      </x:c>
      <x:c r="H124" t="n">
        <x:v>46292.27876649306</x:v>
      </x:c>
      <x:c r="I124"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124" t="str">
        <x:v>benchmark/results/images/bfl/4229ba19_CC-05.png</x:v>
      </x:c>
    </x:row>
    <x:row r="125">
      <x:c r="A125" t="str">
        <x:v>E01</x:v>
      </x:c>
      <x:c r="B125" t="str">
        <x:v>CC-05</x:v>
      </x:c>
      <x:c r="C125" t="str">
        <x:v>Complex compositions</x:v>
      </x:c>
      <x:c r="D125" t="str">
        <x:v>GPT Image 2</x:v>
      </x:c>
      <x:c r="E125" t="str">
        <x:v>D</x:v>
      </x:c>
      <x:c r="F125" t="n">
        <x:v>1</x:v>
      </x:c>
      <x:c r="G125" t="n">
        <x:v>5</x:v>
      </x:c>
      <x:c r="H125" t="n">
        <x:v>46292.27876649306</x:v>
      </x:c>
      <x:c r="I125"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125" t="str">
        <x:v>benchmark/results/images/openai/4229ba19_CC-05.png</x:v>
      </x:c>
    </x:row>
    <x:row r="126">
      <x:c r="A126" t="str">
        <x:v>E01</x:v>
      </x:c>
      <x:c r="B126" t="str">
        <x:v>CC-05</x:v>
      </x:c>
      <x:c r="C126" t="str">
        <x:v>Complex compositions</x:v>
      </x:c>
      <x:c r="D126" t="str">
        <x:v>Z-Image Turbo</x:v>
      </x:c>
      <x:c r="E126" t="str">
        <x:v>E</x:v>
      </x:c>
      <x:c r="F126" t="n">
        <x:v>2</x:v>
      </x:c>
      <x:c r="G126" t="n">
        <x:v>4</x:v>
      </x:c>
      <x:c r="H126" t="n">
        <x:v>46292.27876649306</x:v>
      </x:c>
      <x:c r="I126"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126" t="str">
        <x:v>benchmark/results/open_source/z-image-turbo/w4/512/images/CC-05.png</x:v>
      </x:c>
    </x:row>
    <x:row r="127">
      <x:c r="A127" t="str">
        <x:v>E02</x:v>
      </x:c>
      <x:c r="B127" t="str">
        <x:v>PL-01</x:v>
      </x:c>
      <x:c r="C127" t="str">
        <x:v>People &amp; lifestyle</x:v>
      </x:c>
      <x:c r="D127" t="str">
        <x:v>GPT Image 2</x:v>
      </x:c>
      <x:c r="E127" t="str">
        <x:v>A</x:v>
      </x:c>
      <x:c r="F127" t="n">
        <x:v>4</x:v>
      </x:c>
      <x:c r="G127" t="n">
        <x:v>2</x:v>
      </x:c>
      <x:c r="H127" t="n">
        <x:v>46292.32322484954</x:v>
      </x:c>
      <x:c r="I127"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127" t="str">
        <x:v>benchmark/results/images/openai/4229ba19_PL-01.png</x:v>
      </x:c>
    </x:row>
    <x:row r="128">
      <x:c r="A128" t="str">
        <x:v>E02</x:v>
      </x:c>
      <x:c r="B128" t="str">
        <x:v>PL-01</x:v>
      </x:c>
      <x:c r="C128" t="str">
        <x:v>People &amp; lifestyle</x:v>
      </x:c>
      <x:c r="D128" t="str">
        <x:v>Z-Image Turbo</x:v>
      </x:c>
      <x:c r="E128" t="str">
        <x:v>B</x:v>
      </x:c>
      <x:c r="F128" t="n">
        <x:v>2</x:v>
      </x:c>
      <x:c r="G128" t="n">
        <x:v>4</x:v>
      </x:c>
      <x:c r="H128" t="n">
        <x:v>46292.32322484954</x:v>
      </x:c>
      <x:c r="I128"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128" t="str">
        <x:v>benchmark/results/open_source/z-image-turbo/w4/512/images/PL-01.png</x:v>
      </x:c>
    </x:row>
    <x:row r="129">
      <x:c r="A129" t="str">
        <x:v>E02</x:v>
      </x:c>
      <x:c r="B129" t="str">
        <x:v>PL-01</x:v>
      </x:c>
      <x:c r="C129" t="str">
        <x:v>People &amp; lifestyle</x:v>
      </x:c>
      <x:c r="D129" t="str">
        <x:v>Gemini 3.1 Flash Image</x:v>
      </x:c>
      <x:c r="E129" t="str">
        <x:v>C</x:v>
      </x:c>
      <x:c r="F129" t="n">
        <x:v>1</x:v>
      </x:c>
      <x:c r="G129" t="n">
        <x:v>5</x:v>
      </x:c>
      <x:c r="H129" t="n">
        <x:v>46292.32322484954</x:v>
      </x:c>
      <x:c r="I129"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129" t="str">
        <x:v>benchmark/results/images/google/ab9f43fe_PL-01.png</x:v>
      </x:c>
    </x:row>
    <x:row r="130">
      <x:c r="A130" t="str">
        <x:v>E02</x:v>
      </x:c>
      <x:c r="B130" t="str">
        <x:v>PL-01</x:v>
      </x:c>
      <x:c r="C130" t="str">
        <x:v>People &amp; lifestyle</x:v>
      </x:c>
      <x:c r="D130" t="str">
        <x:v>FLUX 2 Pro</x:v>
      </x:c>
      <x:c r="E130" t="str">
        <x:v>D</x:v>
      </x:c>
      <x:c r="F130" t="n">
        <x:v>3</x:v>
      </x:c>
      <x:c r="G130" t="n">
        <x:v>3</x:v>
      </x:c>
      <x:c r="H130" t="n">
        <x:v>46292.32322484954</x:v>
      </x:c>
      <x:c r="I130"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130" t="str">
        <x:v>benchmark/results/images/bfl/4229ba19_PL-01.png</x:v>
      </x:c>
    </x:row>
    <x:row r="131">
      <x:c r="A131" t="str">
        <x:v>E02</x:v>
      </x:c>
      <x:c r="B131" t="str">
        <x:v>PL-01</x:v>
      </x:c>
      <x:c r="C131" t="str">
        <x:v>People &amp; lifestyle</x:v>
      </x:c>
      <x:c r="D131" t="str">
        <x:v>FLUX.2 Klein 4B</x:v>
      </x:c>
      <x:c r="E131" t="str">
        <x:v>E</x:v>
      </x:c>
      <x:c r="F131" t="n">
        <x:v>5</x:v>
      </x:c>
      <x:c r="G131" t="n">
        <x:v>1</x:v>
      </x:c>
      <x:c r="H131" t="n">
        <x:v>46292.32322484954</x:v>
      </x:c>
      <x:c r="I131"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131" t="str">
        <x:v>benchmark/results/open_source/flux2-klein/q4_k_m/512/images/2a0777a6_PL-01.png</x:v>
      </x:c>
    </x:row>
    <x:row r="132">
      <x:c r="A132" t="str">
        <x:v>E02</x:v>
      </x:c>
      <x:c r="B132" t="str">
        <x:v>PL-02</x:v>
      </x:c>
      <x:c r="C132" t="str">
        <x:v>People &amp; lifestyle</x:v>
      </x:c>
      <x:c r="D132" t="str">
        <x:v>GPT Image 2</x:v>
      </x:c>
      <x:c r="E132" t="str">
        <x:v>A</x:v>
      </x:c>
      <x:c r="F132" t="n">
        <x:v>1</x:v>
      </x:c>
      <x:c r="G132" t="n">
        <x:v>5</x:v>
      </x:c>
      <x:c r="H132" t="n">
        <x:v>46292.32370238426</x:v>
      </x:c>
      <x:c r="I132"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132" t="str">
        <x:v>benchmark/results/images/openai/4229ba19_PL-02.png</x:v>
      </x:c>
    </x:row>
    <x:row r="133">
      <x:c r="A133" t="str">
        <x:v>E02</x:v>
      </x:c>
      <x:c r="B133" t="str">
        <x:v>PL-02</x:v>
      </x:c>
      <x:c r="C133" t="str">
        <x:v>People &amp; lifestyle</x:v>
      </x:c>
      <x:c r="D133" t="str">
        <x:v>Gemini 3.1 Flash Image</x:v>
      </x:c>
      <x:c r="E133" t="str">
        <x:v>B</x:v>
      </x:c>
      <x:c r="F133" t="n">
        <x:v>3</x:v>
      </x:c>
      <x:c r="G133" t="n">
        <x:v>3</x:v>
      </x:c>
      <x:c r="H133" t="n">
        <x:v>46292.32370238426</x:v>
      </x:c>
      <x:c r="I133"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133" t="str">
        <x:v>benchmark/results/images/google/ab9f43fe_PL-02.png</x:v>
      </x:c>
    </x:row>
    <x:row r="134">
      <x:c r="A134" t="str">
        <x:v>E02</x:v>
      </x:c>
      <x:c r="B134" t="str">
        <x:v>PL-02</x:v>
      </x:c>
      <x:c r="C134" t="str">
        <x:v>People &amp; lifestyle</x:v>
      </x:c>
      <x:c r="D134" t="str">
        <x:v>FLUX.2 Klein 4B</x:v>
      </x:c>
      <x:c r="E134" t="str">
        <x:v>C</x:v>
      </x:c>
      <x:c r="F134" t="n">
        <x:v>5</x:v>
      </x:c>
      <x:c r="G134" t="n">
        <x:v>1</x:v>
      </x:c>
      <x:c r="H134" t="n">
        <x:v>46292.32370238426</x:v>
      </x:c>
      <x:c r="I134"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134" t="str">
        <x:v>benchmark/results/open_source/flux2-klein/q4_k_m/512/images/2a0777a6_PL-02.png</x:v>
      </x:c>
    </x:row>
    <x:row r="135">
      <x:c r="A135" t="str">
        <x:v>E02</x:v>
      </x:c>
      <x:c r="B135" t="str">
        <x:v>PL-02</x:v>
      </x:c>
      <x:c r="C135" t="str">
        <x:v>People &amp; lifestyle</x:v>
      </x:c>
      <x:c r="D135" t="str">
        <x:v>FLUX 2 Pro</x:v>
      </x:c>
      <x:c r="E135" t="str">
        <x:v>D</x:v>
      </x:c>
      <x:c r="F135" t="n">
        <x:v>2</x:v>
      </x:c>
      <x:c r="G135" t="n">
        <x:v>4</x:v>
      </x:c>
      <x:c r="H135" t="n">
        <x:v>46292.32370238426</x:v>
      </x:c>
      <x:c r="I135"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135" t="str">
        <x:v>benchmark/results/images/bfl/4229ba19_PL-02.png</x:v>
      </x:c>
    </x:row>
    <x:row r="136">
      <x:c r="A136" t="str">
        <x:v>E02</x:v>
      </x:c>
      <x:c r="B136" t="str">
        <x:v>PL-02</x:v>
      </x:c>
      <x:c r="C136" t="str">
        <x:v>People &amp; lifestyle</x:v>
      </x:c>
      <x:c r="D136" t="str">
        <x:v>Z-Image Turbo</x:v>
      </x:c>
      <x:c r="E136" t="str">
        <x:v>E</x:v>
      </x:c>
      <x:c r="F136" t="n">
        <x:v>4</x:v>
      </x:c>
      <x:c r="G136" t="n">
        <x:v>2</x:v>
      </x:c>
      <x:c r="H136" t="n">
        <x:v>46292.32370238426</x:v>
      </x:c>
      <x:c r="I136"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136" t="str">
        <x:v>benchmark/results/open_source/z-image-turbo/w4/512/images/PL-02.png</x:v>
      </x:c>
    </x:row>
    <x:row r="137">
      <x:c r="A137" t="str">
        <x:v>E02</x:v>
      </x:c>
      <x:c r="B137" t="str">
        <x:v>PL-03</x:v>
      </x:c>
      <x:c r="C137" t="str">
        <x:v>People &amp; lifestyle</x:v>
      </x:c>
      <x:c r="D137" t="str">
        <x:v>Z-Image Turbo</x:v>
      </x:c>
      <x:c r="E137" t="str">
        <x:v>A</x:v>
      </x:c>
      <x:c r="F137" t="n">
        <x:v>5</x:v>
      </x:c>
      <x:c r="G137" t="n">
        <x:v>1</x:v>
      </x:c>
      <x:c r="H137" t="n">
        <x:v>46292.32411350695</x:v>
      </x:c>
      <x:c r="I137"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37" t="str">
        <x:v>benchmark/results/open_source/z-image-turbo/w4/512/images/PL-03.png</x:v>
      </x:c>
    </x:row>
    <x:row r="138">
      <x:c r="A138" t="str">
        <x:v>E02</x:v>
      </x:c>
      <x:c r="B138" t="str">
        <x:v>PL-03</x:v>
      </x:c>
      <x:c r="C138" t="str">
        <x:v>People &amp; lifestyle</x:v>
      </x:c>
      <x:c r="D138" t="str">
        <x:v>FLUX.2 Klein 4B</x:v>
      </x:c>
      <x:c r="E138" t="str">
        <x:v>B</x:v>
      </x:c>
      <x:c r="F138" t="n">
        <x:v>4</x:v>
      </x:c>
      <x:c r="G138" t="n">
        <x:v>2</x:v>
      </x:c>
      <x:c r="H138" t="n">
        <x:v>46292.32411350695</x:v>
      </x:c>
      <x:c r="I138"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38" t="str">
        <x:v>benchmark/results/open_source/flux2-klein/q4_k_m/512/images/2a0777a6_PL-03.png</x:v>
      </x:c>
    </x:row>
    <x:row r="139">
      <x:c r="A139" t="str">
        <x:v>E02</x:v>
      </x:c>
      <x:c r="B139" t="str">
        <x:v>PL-03</x:v>
      </x:c>
      <x:c r="C139" t="str">
        <x:v>People &amp; lifestyle</x:v>
      </x:c>
      <x:c r="D139" t="str">
        <x:v>Gemini 3.1 Flash Image</x:v>
      </x:c>
      <x:c r="E139" t="str">
        <x:v>C</x:v>
      </x:c>
      <x:c r="F139" t="n">
        <x:v>1</x:v>
      </x:c>
      <x:c r="G139" t="n">
        <x:v>5</x:v>
      </x:c>
      <x:c r="H139" t="n">
        <x:v>46292.32411350695</x:v>
      </x:c>
      <x:c r="I139"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39" t="str">
        <x:v>benchmark/results/images/google/ab9f43fe_PL-03.png</x:v>
      </x:c>
    </x:row>
    <x:row r="140">
      <x:c r="A140" t="str">
        <x:v>E02</x:v>
      </x:c>
      <x:c r="B140" t="str">
        <x:v>PL-03</x:v>
      </x:c>
      <x:c r="C140" t="str">
        <x:v>People &amp; lifestyle</x:v>
      </x:c>
      <x:c r="D140" t="str">
        <x:v>GPT Image 2</x:v>
      </x:c>
      <x:c r="E140" t="str">
        <x:v>D</x:v>
      </x:c>
      <x:c r="F140" t="n">
        <x:v>3</x:v>
      </x:c>
      <x:c r="G140" t="n">
        <x:v>3</x:v>
      </x:c>
      <x:c r="H140" t="n">
        <x:v>46292.32411350695</x:v>
      </x:c>
      <x:c r="I140"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40" t="str">
        <x:v>benchmark/results/images/openai/4229ba19_PL-03.png</x:v>
      </x:c>
    </x:row>
    <x:row r="141">
      <x:c r="A141" t="str">
        <x:v>E02</x:v>
      </x:c>
      <x:c r="B141" t="str">
        <x:v>PL-03</x:v>
      </x:c>
      <x:c r="C141" t="str">
        <x:v>People &amp; lifestyle</x:v>
      </x:c>
      <x:c r="D141" t="str">
        <x:v>FLUX 2 Pro</x:v>
      </x:c>
      <x:c r="E141" t="str">
        <x:v>E</x:v>
      </x:c>
      <x:c r="F141" t="n">
        <x:v>2</x:v>
      </x:c>
      <x:c r="G141" t="n">
        <x:v>4</x:v>
      </x:c>
      <x:c r="H141" t="n">
        <x:v>46292.32411350695</x:v>
      </x:c>
      <x:c r="I141"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141" t="str">
        <x:v>benchmark/results/images/bfl/4229ba19_PL-03.png</x:v>
      </x:c>
    </x:row>
    <x:row r="142">
      <x:c r="A142" t="str">
        <x:v>E02</x:v>
      </x:c>
      <x:c r="B142" t="str">
        <x:v>PL-04</x:v>
      </x:c>
      <x:c r="C142" t="str">
        <x:v>People &amp; lifestyle</x:v>
      </x:c>
      <x:c r="D142" t="str">
        <x:v>FLUX 2 Pro</x:v>
      </x:c>
      <x:c r="E142" t="str">
        <x:v>A</x:v>
      </x:c>
      <x:c r="F142" t="n">
        <x:v>2</x:v>
      </x:c>
      <x:c r="G142" t="n">
        <x:v>4</x:v>
      </x:c>
      <x:c r="H142" t="n">
        <x:v>46292.324729479165</x:v>
      </x:c>
      <x:c r="I142"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142" t="str">
        <x:v>benchmark/results/images/bfl/4229ba19_PL-04.png</x:v>
      </x:c>
    </x:row>
    <x:row r="143">
      <x:c r="A143" t="str">
        <x:v>E02</x:v>
      </x:c>
      <x:c r="B143" t="str">
        <x:v>PL-04</x:v>
      </x:c>
      <x:c r="C143" t="str">
        <x:v>People &amp; lifestyle</x:v>
      </x:c>
      <x:c r="D143" t="str">
        <x:v>FLUX.2 Klein 4B</x:v>
      </x:c>
      <x:c r="E143" t="str">
        <x:v>B</x:v>
      </x:c>
      <x:c r="F143" t="n">
        <x:v>5</x:v>
      </x:c>
      <x:c r="G143" t="n">
        <x:v>1</x:v>
      </x:c>
      <x:c r="H143" t="n">
        <x:v>46292.324729479165</x:v>
      </x:c>
      <x:c r="I143"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143" t="str">
        <x:v>benchmark/results/open_source/flux2-klein/q4_k_m/512/images/2a0777a6_PL-04.png</x:v>
      </x:c>
    </x:row>
    <x:row r="144">
      <x:c r="A144" t="str">
        <x:v>E02</x:v>
      </x:c>
      <x:c r="B144" t="str">
        <x:v>PL-04</x:v>
      </x:c>
      <x:c r="C144" t="str">
        <x:v>People &amp; lifestyle</x:v>
      </x:c>
      <x:c r="D144" t="str">
        <x:v>Gemini 3.1 Flash Image</x:v>
      </x:c>
      <x:c r="E144" t="str">
        <x:v>C</x:v>
      </x:c>
      <x:c r="F144" t="n">
        <x:v>3</x:v>
      </x:c>
      <x:c r="G144" t="n">
        <x:v>3</x:v>
      </x:c>
      <x:c r="H144" t="n">
        <x:v>46292.324729479165</x:v>
      </x:c>
      <x:c r="I144"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144" t="str">
        <x:v>benchmark/results/images/google/ab9f43fe_PL-04.png</x:v>
      </x:c>
    </x:row>
    <x:row r="145">
      <x:c r="A145" t="str">
        <x:v>E02</x:v>
      </x:c>
      <x:c r="B145" t="str">
        <x:v>PL-04</x:v>
      </x:c>
      <x:c r="C145" t="str">
        <x:v>People &amp; lifestyle</x:v>
      </x:c>
      <x:c r="D145" t="str">
        <x:v>GPT Image 2</x:v>
      </x:c>
      <x:c r="E145" t="str">
        <x:v>D</x:v>
      </x:c>
      <x:c r="F145" t="n">
        <x:v>1</x:v>
      </x:c>
      <x:c r="G145" t="n">
        <x:v>5</x:v>
      </x:c>
      <x:c r="H145" t="n">
        <x:v>46292.324729479165</x:v>
      </x:c>
      <x:c r="I145"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145" t="str">
        <x:v>benchmark/results/images/openai/4229ba19_PL-04.png</x:v>
      </x:c>
    </x:row>
    <x:row r="146">
      <x:c r="A146" t="str">
        <x:v>E02</x:v>
      </x:c>
      <x:c r="B146" t="str">
        <x:v>PL-04</x:v>
      </x:c>
      <x:c r="C146" t="str">
        <x:v>People &amp; lifestyle</x:v>
      </x:c>
      <x:c r="D146" t="str">
        <x:v>Z-Image Turbo</x:v>
      </x:c>
      <x:c r="E146" t="str">
        <x:v>E</x:v>
      </x:c>
      <x:c r="F146" t="n">
        <x:v>4</x:v>
      </x:c>
      <x:c r="G146" t="n">
        <x:v>2</x:v>
      </x:c>
      <x:c r="H146" t="n">
        <x:v>46292.324729479165</x:v>
      </x:c>
      <x:c r="I146"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146" t="str">
        <x:v>benchmark/results/open_source/z-image-turbo/w4/512/images/PL-04.png</x:v>
      </x:c>
    </x:row>
    <x:row r="147">
      <x:c r="A147" t="str">
        <x:v>E02</x:v>
      </x:c>
      <x:c r="B147" t="str">
        <x:v>PL-05</x:v>
      </x:c>
      <x:c r="C147" t="str">
        <x:v>People &amp; lifestyle</x:v>
      </x:c>
      <x:c r="D147" t="str">
        <x:v>GPT Image 2</x:v>
      </x:c>
      <x:c r="E147" t="str">
        <x:v>A</x:v>
      </x:c>
      <x:c r="F147" t="n">
        <x:v>1</x:v>
      </x:c>
      <x:c r="G147" t="n">
        <x:v>5</x:v>
      </x:c>
      <x:c r="H147" t="n">
        <x:v>46292.32643688657</x:v>
      </x:c>
      <x:c r="I147"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147" t="str">
        <x:v>benchmark/results/images/openai/4229ba19_PL-05.png</x:v>
      </x:c>
    </x:row>
    <x:row r="148">
      <x:c r="A148" t="str">
        <x:v>E02</x:v>
      </x:c>
      <x:c r="B148" t="str">
        <x:v>PL-05</x:v>
      </x:c>
      <x:c r="C148" t="str">
        <x:v>People &amp; lifestyle</x:v>
      </x:c>
      <x:c r="D148" t="str">
        <x:v>FLUX 2 Pro</x:v>
      </x:c>
      <x:c r="E148" t="str">
        <x:v>B</x:v>
      </x:c>
      <x:c r="F148" t="n">
        <x:v>2</x:v>
      </x:c>
      <x:c r="G148" t="n">
        <x:v>4</x:v>
      </x:c>
      <x:c r="H148" t="n">
        <x:v>46292.32643688657</x:v>
      </x:c>
      <x:c r="I148"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148" t="str">
        <x:v>benchmark/results/images/bfl/4229ba19_PL-05.png</x:v>
      </x:c>
    </x:row>
    <x:row r="149">
      <x:c r="A149" t="str">
        <x:v>E02</x:v>
      </x:c>
      <x:c r="B149" t="str">
        <x:v>PL-05</x:v>
      </x:c>
      <x:c r="C149" t="str">
        <x:v>People &amp; lifestyle</x:v>
      </x:c>
      <x:c r="D149" t="str">
        <x:v>FLUX.2 Klein 4B</x:v>
      </x:c>
      <x:c r="E149" t="str">
        <x:v>C</x:v>
      </x:c>
      <x:c r="F149" t="n">
        <x:v>4</x:v>
      </x:c>
      <x:c r="G149" t="n">
        <x:v>2</x:v>
      </x:c>
      <x:c r="H149" t="n">
        <x:v>46292.32643688657</x:v>
      </x:c>
      <x:c r="I149"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149" t="str">
        <x:v>benchmark/results/open_source/flux2-klein/q4_k_m/512/images/2a0777a6_PL-05.png</x:v>
      </x:c>
    </x:row>
    <x:row r="150">
      <x:c r="A150" t="str">
        <x:v>E02</x:v>
      </x:c>
      <x:c r="B150" t="str">
        <x:v>PL-05</x:v>
      </x:c>
      <x:c r="C150" t="str">
        <x:v>People &amp; lifestyle</x:v>
      </x:c>
      <x:c r="D150" t="str">
        <x:v>Z-Image Turbo</x:v>
      </x:c>
      <x:c r="E150" t="str">
        <x:v>D</x:v>
      </x:c>
      <x:c r="F150" t="n">
        <x:v>5</x:v>
      </x:c>
      <x:c r="G150" t="n">
        <x:v>1</x:v>
      </x:c>
      <x:c r="H150" t="n">
        <x:v>46292.32643688657</x:v>
      </x:c>
      <x:c r="I150"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150" t="str">
        <x:v>benchmark/results/open_source/z-image-turbo/w4/512/images/PL-05.png</x:v>
      </x:c>
    </x:row>
    <x:row r="151">
      <x:c r="A151" t="str">
        <x:v>E02</x:v>
      </x:c>
      <x:c r="B151" t="str">
        <x:v>PL-05</x:v>
      </x:c>
      <x:c r="C151" t="str">
        <x:v>People &amp; lifestyle</x:v>
      </x:c>
      <x:c r="D151" t="str">
        <x:v>Gemini 3.1 Flash Image</x:v>
      </x:c>
      <x:c r="E151" t="str">
        <x:v>E</x:v>
      </x:c>
      <x:c r="F151" t="n">
        <x:v>3</x:v>
      </x:c>
      <x:c r="G151" t="n">
        <x:v>3</x:v>
      </x:c>
      <x:c r="H151" t="n">
        <x:v>46292.32643688657</x:v>
      </x:c>
      <x:c r="I151"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151" t="str">
        <x:v>benchmark/results/images/google/ab9f43fe_PL-05.png</x:v>
      </x:c>
    </x:row>
    <x:row r="152">
      <x:c r="A152" t="str">
        <x:v>E02</x:v>
      </x:c>
      <x:c r="B152" t="str">
        <x:v>TT-01</x:v>
      </x:c>
      <x:c r="C152" t="str">
        <x:v>Text &amp; typography</x:v>
      </x:c>
      <x:c r="D152" t="str">
        <x:v>Z-Image Turbo</x:v>
      </x:c>
      <x:c r="E152" t="str">
        <x:v>A</x:v>
      </x:c>
      <x:c r="F152" t="n">
        <x:v>5</x:v>
      </x:c>
      <x:c r="G152" t="n">
        <x:v>1</x:v>
      </x:c>
      <x:c r="H152" t="n">
        <x:v>46292.327005520834</x:v>
      </x:c>
      <x:c r="I152"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152" t="str">
        <x:v>benchmark/results/open_source/z-image-turbo/w4/512/images/TT-01.png</x:v>
      </x:c>
    </x:row>
    <x:row r="153">
      <x:c r="A153" t="str">
        <x:v>E02</x:v>
      </x:c>
      <x:c r="B153" t="str">
        <x:v>TT-01</x:v>
      </x:c>
      <x:c r="C153" t="str">
        <x:v>Text &amp; typography</x:v>
      </x:c>
      <x:c r="D153" t="str">
        <x:v>FLUX 2 Pro</x:v>
      </x:c>
      <x:c r="E153" t="str">
        <x:v>B</x:v>
      </x:c>
      <x:c r="F153" t="n">
        <x:v>2</x:v>
      </x:c>
      <x:c r="G153" t="n">
        <x:v>4</x:v>
      </x:c>
      <x:c r="H153" t="n">
        <x:v>46292.327005520834</x:v>
      </x:c>
      <x:c r="I153"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153" t="str">
        <x:v>benchmark/results/images/bfl/4229ba19_TT-01.png</x:v>
      </x:c>
    </x:row>
    <x:row r="154">
      <x:c r="A154" t="str">
        <x:v>E02</x:v>
      </x:c>
      <x:c r="B154" t="str">
        <x:v>TT-01</x:v>
      </x:c>
      <x:c r="C154" t="str">
        <x:v>Text &amp; typography</x:v>
      </x:c>
      <x:c r="D154" t="str">
        <x:v>FLUX.2 Klein 4B</x:v>
      </x:c>
      <x:c r="E154" t="str">
        <x:v>C</x:v>
      </x:c>
      <x:c r="F154" t="n">
        <x:v>3</x:v>
      </x:c>
      <x:c r="G154" t="n">
        <x:v>3</x:v>
      </x:c>
      <x:c r="H154" t="n">
        <x:v>46292.327005520834</x:v>
      </x:c>
      <x:c r="I154"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154" t="str">
        <x:v>benchmark/results/open_source/flux2-klein/q4_k_m/512/images/2a0777a6_TT-01.png</x:v>
      </x:c>
    </x:row>
    <x:row r="155">
      <x:c r="A155" t="str">
        <x:v>E02</x:v>
      </x:c>
      <x:c r="B155" t="str">
        <x:v>TT-01</x:v>
      </x:c>
      <x:c r="C155" t="str">
        <x:v>Text &amp; typography</x:v>
      </x:c>
      <x:c r="D155" t="str">
        <x:v>GPT Image 2</x:v>
      </x:c>
      <x:c r="E155" t="str">
        <x:v>D</x:v>
      </x:c>
      <x:c r="F155" t="n">
        <x:v>1</x:v>
      </x:c>
      <x:c r="G155" t="n">
        <x:v>5</x:v>
      </x:c>
      <x:c r="H155" t="n">
        <x:v>46292.327005520834</x:v>
      </x:c>
      <x:c r="I155"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155" t="str">
        <x:v>benchmark/results/images/openai/4229ba19_TT-01.png</x:v>
      </x:c>
    </x:row>
    <x:row r="156">
      <x:c r="A156" t="str">
        <x:v>E02</x:v>
      </x:c>
      <x:c r="B156" t="str">
        <x:v>TT-01</x:v>
      </x:c>
      <x:c r="C156" t="str">
        <x:v>Text &amp; typography</x:v>
      </x:c>
      <x:c r="D156" t="str">
        <x:v>Gemini 3.1 Flash Image</x:v>
      </x:c>
      <x:c r="E156" t="str">
        <x:v>E</x:v>
      </x:c>
      <x:c r="F156" t="n">
        <x:v>4</x:v>
      </x:c>
      <x:c r="G156" t="n">
        <x:v>2</x:v>
      </x:c>
      <x:c r="H156" t="n">
        <x:v>46292.327005520834</x:v>
      </x:c>
      <x:c r="I156"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156" t="str">
        <x:v>benchmark/results/images/google/ab9f43fe_TT-01.png</x:v>
      </x:c>
    </x:row>
    <x:row r="157">
      <x:c r="A157" t="str">
        <x:v>E02</x:v>
      </x:c>
      <x:c r="B157" t="str">
        <x:v>TT-02</x:v>
      </x:c>
      <x:c r="C157" t="str">
        <x:v>Text &amp; typography</x:v>
      </x:c>
      <x:c r="D157" t="str">
        <x:v>Gemini 3.1 Flash Image</x:v>
      </x:c>
      <x:c r="E157" t="str">
        <x:v>A</x:v>
      </x:c>
      <x:c r="F157" t="n">
        <x:v>2</x:v>
      </x:c>
      <x:c r="G157" t="n">
        <x:v>4</x:v>
      </x:c>
      <x:c r="H157" t="n">
        <x:v>46292.32732297454</x:v>
      </x:c>
      <x:c r="I157"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157" t="str">
        <x:v>benchmark/results/images/google/ab9f43fe_TT-02.png</x:v>
      </x:c>
    </x:row>
    <x:row r="158">
      <x:c r="A158" t="str">
        <x:v>E02</x:v>
      </x:c>
      <x:c r="B158" t="str">
        <x:v>TT-02</x:v>
      </x:c>
      <x:c r="C158" t="str">
        <x:v>Text &amp; typography</x:v>
      </x:c>
      <x:c r="D158" t="str">
        <x:v>GPT Image 2</x:v>
      </x:c>
      <x:c r="E158" t="str">
        <x:v>B</x:v>
      </x:c>
      <x:c r="F158" t="n">
        <x:v>1</x:v>
      </x:c>
      <x:c r="G158" t="n">
        <x:v>5</x:v>
      </x:c>
      <x:c r="H158" t="n">
        <x:v>46292.32732297454</x:v>
      </x:c>
      <x:c r="I158"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158" t="str">
        <x:v>benchmark/results/images/openai/4229ba19_TT-02.png</x:v>
      </x:c>
    </x:row>
    <x:row r="159">
      <x:c r="A159" t="str">
        <x:v>E02</x:v>
      </x:c>
      <x:c r="B159" t="str">
        <x:v>TT-02</x:v>
      </x:c>
      <x:c r="C159" t="str">
        <x:v>Text &amp; typography</x:v>
      </x:c>
      <x:c r="D159" t="str">
        <x:v>FLUX 2 Pro</x:v>
      </x:c>
      <x:c r="E159" t="str">
        <x:v>C</x:v>
      </x:c>
      <x:c r="F159" t="n">
        <x:v>4</x:v>
      </x:c>
      <x:c r="G159" t="n">
        <x:v>2</x:v>
      </x:c>
      <x:c r="H159" t="n">
        <x:v>46292.32732297454</x:v>
      </x:c>
      <x:c r="I159"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159" t="str">
        <x:v>benchmark/results/images/bfl/4229ba19_TT-02.png</x:v>
      </x:c>
    </x:row>
    <x:row r="160">
      <x:c r="A160" t="str">
        <x:v>E02</x:v>
      </x:c>
      <x:c r="B160" t="str">
        <x:v>TT-02</x:v>
      </x:c>
      <x:c r="C160" t="str">
        <x:v>Text &amp; typography</x:v>
      </x:c>
      <x:c r="D160" t="str">
        <x:v>FLUX.2 Klein 4B</x:v>
      </x:c>
      <x:c r="E160" t="str">
        <x:v>D</x:v>
      </x:c>
      <x:c r="F160" t="n">
        <x:v>5</x:v>
      </x:c>
      <x:c r="G160" t="n">
        <x:v>1</x:v>
      </x:c>
      <x:c r="H160" t="n">
        <x:v>46292.32732297454</x:v>
      </x:c>
      <x:c r="I160"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160" t="str">
        <x:v>benchmark/results/open_source/flux2-klein/q4_k_m/512/images/2a0777a6_TT-02.png</x:v>
      </x:c>
    </x:row>
    <x:row r="161">
      <x:c r="A161" t="str">
        <x:v>E02</x:v>
      </x:c>
      <x:c r="B161" t="str">
        <x:v>TT-02</x:v>
      </x:c>
      <x:c r="C161" t="str">
        <x:v>Text &amp; typography</x:v>
      </x:c>
      <x:c r="D161" t="str">
        <x:v>Z-Image Turbo</x:v>
      </x:c>
      <x:c r="E161" t="str">
        <x:v>E</x:v>
      </x:c>
      <x:c r="F161" t="n">
        <x:v>3</x:v>
      </x:c>
      <x:c r="G161" t="n">
        <x:v>3</x:v>
      </x:c>
      <x:c r="H161" t="n">
        <x:v>46292.32732297454</x:v>
      </x:c>
      <x:c r="I161"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161" t="str">
        <x:v>benchmark/results/open_source/z-image-turbo/w4/512/images/TT-02.png</x:v>
      </x:c>
    </x:row>
    <x:row r="162">
      <x:c r="A162" t="str">
        <x:v>E02</x:v>
      </x:c>
      <x:c r="B162" t="str">
        <x:v>TT-03</x:v>
      </x:c>
      <x:c r="C162" t="str">
        <x:v>Text &amp; typography</x:v>
      </x:c>
      <x:c r="D162" t="str">
        <x:v>Gemini 3.1 Flash Image</x:v>
      </x:c>
      <x:c r="E162" t="str">
        <x:v>A</x:v>
      </x:c>
      <x:c r="F162" t="n">
        <x:v>5</x:v>
      </x:c>
      <x:c r="G162" t="n">
        <x:v>1</x:v>
      </x:c>
      <x:c r="H162" t="n">
        <x:v>46292.32763190972</x:v>
      </x:c>
      <x:c r="I162"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162" t="str">
        <x:v>benchmark/results/images/google/ab9f43fe_TT-03.png</x:v>
      </x:c>
    </x:row>
    <x:row r="163">
      <x:c r="A163" t="str">
        <x:v>E02</x:v>
      </x:c>
      <x:c r="B163" t="str">
        <x:v>TT-03</x:v>
      </x:c>
      <x:c r="C163" t="str">
        <x:v>Text &amp; typography</x:v>
      </x:c>
      <x:c r="D163" t="str">
        <x:v>GPT Image 2</x:v>
      </x:c>
      <x:c r="E163" t="str">
        <x:v>B</x:v>
      </x:c>
      <x:c r="F163" t="n">
        <x:v>1</x:v>
      </x:c>
      <x:c r="G163" t="n">
        <x:v>5</x:v>
      </x:c>
      <x:c r="H163" t="n">
        <x:v>46292.32763190972</x:v>
      </x:c>
      <x:c r="I163"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163" t="str">
        <x:v>benchmark/results/images/openai/4229ba19_TT-03.png</x:v>
      </x:c>
    </x:row>
    <x:row r="164">
      <x:c r="A164" t="str">
        <x:v>E02</x:v>
      </x:c>
      <x:c r="B164" t="str">
        <x:v>TT-03</x:v>
      </x:c>
      <x:c r="C164" t="str">
        <x:v>Text &amp; typography</x:v>
      </x:c>
      <x:c r="D164" t="str">
        <x:v>Z-Image Turbo</x:v>
      </x:c>
      <x:c r="E164" t="str">
        <x:v>C</x:v>
      </x:c>
      <x:c r="F164" t="n">
        <x:v>4</x:v>
      </x:c>
      <x:c r="G164" t="n">
        <x:v>2</x:v>
      </x:c>
      <x:c r="H164" t="n">
        <x:v>46292.32763190972</x:v>
      </x:c>
      <x:c r="I164"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164" t="str">
        <x:v>benchmark/results/open_source/z-image-turbo/w4/512/images/TT-03.png</x:v>
      </x:c>
    </x:row>
    <x:row r="165">
      <x:c r="A165" t="str">
        <x:v>E02</x:v>
      </x:c>
      <x:c r="B165" t="str">
        <x:v>TT-03</x:v>
      </x:c>
      <x:c r="C165" t="str">
        <x:v>Text &amp; typography</x:v>
      </x:c>
      <x:c r="D165" t="str">
        <x:v>FLUX 2 Pro</x:v>
      </x:c>
      <x:c r="E165" t="str">
        <x:v>D</x:v>
      </x:c>
      <x:c r="F165" t="n">
        <x:v>2</x:v>
      </x:c>
      <x:c r="G165" t="n">
        <x:v>4</x:v>
      </x:c>
      <x:c r="H165" t="n">
        <x:v>46292.32763190972</x:v>
      </x:c>
      <x:c r="I165"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165" t="str">
        <x:v>benchmark/results/images/bfl/4229ba19_TT-03.png</x:v>
      </x:c>
    </x:row>
    <x:row r="166">
      <x:c r="A166" t="str">
        <x:v>E02</x:v>
      </x:c>
      <x:c r="B166" t="str">
        <x:v>TT-03</x:v>
      </x:c>
      <x:c r="C166" t="str">
        <x:v>Text &amp; typography</x:v>
      </x:c>
      <x:c r="D166" t="str">
        <x:v>FLUX.2 Klein 4B</x:v>
      </x:c>
      <x:c r="E166" t="str">
        <x:v>E</x:v>
      </x:c>
      <x:c r="F166" t="n">
        <x:v>3</x:v>
      </x:c>
      <x:c r="G166" t="n">
        <x:v>3</x:v>
      </x:c>
      <x:c r="H166" t="n">
        <x:v>46292.32763190972</x:v>
      </x:c>
      <x:c r="I166"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166" t="str">
        <x:v>benchmark/results/open_source/flux2-klein/q4_k_m/512/images/2a0777a6_TT-03.png</x:v>
      </x:c>
    </x:row>
    <x:row r="167">
      <x:c r="A167" t="str">
        <x:v>E02</x:v>
      </x:c>
      <x:c r="B167" t="str">
        <x:v>TT-04</x:v>
      </x:c>
      <x:c r="C167" t="str">
        <x:v>Text &amp; typography</x:v>
      </x:c>
      <x:c r="D167" t="str">
        <x:v>GPT Image 2</x:v>
      </x:c>
      <x:c r="E167" t="str">
        <x:v>A</x:v>
      </x:c>
      <x:c r="F167" t="n">
        <x:v>1</x:v>
      </x:c>
      <x:c r="G167" t="n">
        <x:v>5</x:v>
      </x:c>
      <x:c r="H167" t="n">
        <x:v>46292.32820319445</x:v>
      </x:c>
      <x:c r="I167"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167" t="str">
        <x:v>benchmark/results/images/openai/4229ba19_TT-04.png</x:v>
      </x:c>
    </x:row>
    <x:row r="168">
      <x:c r="A168" t="str">
        <x:v>E02</x:v>
      </x:c>
      <x:c r="B168" t="str">
        <x:v>TT-04</x:v>
      </x:c>
      <x:c r="C168" t="str">
        <x:v>Text &amp; typography</x:v>
      </x:c>
      <x:c r="D168" t="str">
        <x:v>FLUX.2 Klein 4B</x:v>
      </x:c>
      <x:c r="E168" t="str">
        <x:v>B</x:v>
      </x:c>
      <x:c r="F168" t="n">
        <x:v>3</x:v>
      </x:c>
      <x:c r="G168" t="n">
        <x:v>3</x:v>
      </x:c>
      <x:c r="H168" t="n">
        <x:v>46292.32820319445</x:v>
      </x:c>
      <x:c r="I168"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168" t="str">
        <x:v>benchmark/results/open_source/flux2-klein/q4_k_m/512/images/2a0777a6_TT-04.png</x:v>
      </x:c>
    </x:row>
    <x:row r="169">
      <x:c r="A169" t="str">
        <x:v>E02</x:v>
      </x:c>
      <x:c r="B169" t="str">
        <x:v>TT-04</x:v>
      </x:c>
      <x:c r="C169" t="str">
        <x:v>Text &amp; typography</x:v>
      </x:c>
      <x:c r="D169" t="str">
        <x:v>FLUX 2 Pro</x:v>
      </x:c>
      <x:c r="E169" t="str">
        <x:v>C</x:v>
      </x:c>
      <x:c r="F169" t="n">
        <x:v>2</x:v>
      </x:c>
      <x:c r="G169" t="n">
        <x:v>4</x:v>
      </x:c>
      <x:c r="H169" t="n">
        <x:v>46292.32820319445</x:v>
      </x:c>
      <x:c r="I169"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169" t="str">
        <x:v>benchmark/results/images/bfl/4229ba19_TT-04.png</x:v>
      </x:c>
    </x:row>
    <x:row r="170">
      <x:c r="A170" t="str">
        <x:v>E02</x:v>
      </x:c>
      <x:c r="B170" t="str">
        <x:v>TT-04</x:v>
      </x:c>
      <x:c r="C170" t="str">
        <x:v>Text &amp; typography</x:v>
      </x:c>
      <x:c r="D170" t="str">
        <x:v>Z-Image Turbo</x:v>
      </x:c>
      <x:c r="E170" t="str">
        <x:v>D</x:v>
      </x:c>
      <x:c r="F170" t="n">
        <x:v>5</x:v>
      </x:c>
      <x:c r="G170" t="n">
        <x:v>1</x:v>
      </x:c>
      <x:c r="H170" t="n">
        <x:v>46292.32820319445</x:v>
      </x:c>
      <x:c r="I170"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170" t="str">
        <x:v>benchmark/results/open_source/z-image-turbo/w4/512/images/TT-04.png</x:v>
      </x:c>
    </x:row>
    <x:row r="171">
      <x:c r="A171" t="str">
        <x:v>E02</x:v>
      </x:c>
      <x:c r="B171" t="str">
        <x:v>TT-04</x:v>
      </x:c>
      <x:c r="C171" t="str">
        <x:v>Text &amp; typography</x:v>
      </x:c>
      <x:c r="D171" t="str">
        <x:v>Gemini 3.1 Flash Image</x:v>
      </x:c>
      <x:c r="E171" t="str">
        <x:v>E</x:v>
      </x:c>
      <x:c r="F171" t="n">
        <x:v>4</x:v>
      </x:c>
      <x:c r="G171" t="n">
        <x:v>2</x:v>
      </x:c>
      <x:c r="H171" t="n">
        <x:v>46292.32820319445</x:v>
      </x:c>
      <x:c r="I171"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171" t="str">
        <x:v>benchmark/results/images/google/ab9f43fe_TT-04.png</x:v>
      </x:c>
    </x:row>
    <x:row r="172">
      <x:c r="A172" t="str">
        <x:v>E02</x:v>
      </x:c>
      <x:c r="B172" t="str">
        <x:v>TT-05</x:v>
      </x:c>
      <x:c r="C172" t="str">
        <x:v>Text &amp; typography</x:v>
      </x:c>
      <x:c r="D172" t="str">
        <x:v>Z-Image Turbo</x:v>
      </x:c>
      <x:c r="E172" t="str">
        <x:v>A</x:v>
      </x:c>
      <x:c r="F172" t="n">
        <x:v>4</x:v>
      </x:c>
      <x:c r="G172" t="n">
        <x:v>2</x:v>
      </x:c>
      <x:c r="H172" t="n">
        <x:v>46292.32881568287</x:v>
      </x:c>
      <x:c r="I172"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172" t="str">
        <x:v>benchmark/results/open_source/z-image-turbo/w4/512/images/TT-05.png</x:v>
      </x:c>
    </x:row>
    <x:row r="173">
      <x:c r="A173" t="str">
        <x:v>E02</x:v>
      </x:c>
      <x:c r="B173" t="str">
        <x:v>TT-05</x:v>
      </x:c>
      <x:c r="C173" t="str">
        <x:v>Text &amp; typography</x:v>
      </x:c>
      <x:c r="D173" t="str">
        <x:v>Gemini 3.1 Flash Image</x:v>
      </x:c>
      <x:c r="E173" t="str">
        <x:v>B</x:v>
      </x:c>
      <x:c r="F173" t="n">
        <x:v>2</x:v>
      </x:c>
      <x:c r="G173" t="n">
        <x:v>4</x:v>
      </x:c>
      <x:c r="H173" t="n">
        <x:v>46292.32881568287</x:v>
      </x:c>
      <x:c r="I173"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173" t="str">
        <x:v>benchmark/results/images/google/ab9f43fe_TT-05.png</x:v>
      </x:c>
    </x:row>
    <x:row r="174">
      <x:c r="A174" t="str">
        <x:v>E02</x:v>
      </x:c>
      <x:c r="B174" t="str">
        <x:v>TT-05</x:v>
      </x:c>
      <x:c r="C174" t="str">
        <x:v>Text &amp; typography</x:v>
      </x:c>
      <x:c r="D174" t="str">
        <x:v>GPT Image 2</x:v>
      </x:c>
      <x:c r="E174" t="str">
        <x:v>C</x:v>
      </x:c>
      <x:c r="F174" t="n">
        <x:v>5</x:v>
      </x:c>
      <x:c r="G174" t="n">
        <x:v>1</x:v>
      </x:c>
      <x:c r="H174" t="n">
        <x:v>46292.32881568287</x:v>
      </x:c>
      <x:c r="I174"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174" t="str">
        <x:v>benchmark/results/images/openai/4229ba19_TT-05.png</x:v>
      </x:c>
    </x:row>
    <x:row r="175">
      <x:c r="A175" t="str">
        <x:v>E02</x:v>
      </x:c>
      <x:c r="B175" t="str">
        <x:v>TT-05</x:v>
      </x:c>
      <x:c r="C175" t="str">
        <x:v>Text &amp; typography</x:v>
      </x:c>
      <x:c r="D175" t="str">
        <x:v>FLUX.2 Klein 4B</x:v>
      </x:c>
      <x:c r="E175" t="str">
        <x:v>D</x:v>
      </x:c>
      <x:c r="F175" t="n">
        <x:v>3</x:v>
      </x:c>
      <x:c r="G175" t="n">
        <x:v>3</x:v>
      </x:c>
      <x:c r="H175" t="n">
        <x:v>46292.32881568287</x:v>
      </x:c>
      <x:c r="I175"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175" t="str">
        <x:v>benchmark/results/open_source/flux2-klein/q4_k_m/512/images/2a0777a6_TT-05.png</x:v>
      </x:c>
    </x:row>
    <x:row r="176">
      <x:c r="A176" t="str">
        <x:v>E02</x:v>
      </x:c>
      <x:c r="B176" t="str">
        <x:v>TT-05</x:v>
      </x:c>
      <x:c r="C176" t="str">
        <x:v>Text &amp; typography</x:v>
      </x:c>
      <x:c r="D176" t="str">
        <x:v>FLUX 2 Pro</x:v>
      </x:c>
      <x:c r="E176" t="str">
        <x:v>E</x:v>
      </x:c>
      <x:c r="F176" t="n">
        <x:v>1</x:v>
      </x:c>
      <x:c r="G176" t="n">
        <x:v>5</x:v>
      </x:c>
      <x:c r="H176" t="n">
        <x:v>46292.32881568287</x:v>
      </x:c>
      <x:c r="I176"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176" t="str">
        <x:v>benchmark/results/images/bfl/4229ba19_TT-05.png</x:v>
      </x:c>
    </x:row>
    <x:row r="177">
      <x:c r="A177" t="str">
        <x:v>E02</x:v>
      </x:c>
      <x:c r="B177" t="str">
        <x:v>BA-01</x:v>
      </x:c>
      <x:c r="C177" t="str">
        <x:v>Branding &amp; advertising</x:v>
      </x:c>
      <x:c r="D177" t="str">
        <x:v>GPT Image 2</x:v>
      </x:c>
      <x:c r="E177" t="str">
        <x:v>A</x:v>
      </x:c>
      <x:c r="F177" t="n">
        <x:v>2</x:v>
      </x:c>
      <x:c r="G177" t="n">
        <x:v>4</x:v>
      </x:c>
      <x:c r="H177" t="n">
        <x:v>46292.32928409722</x:v>
      </x:c>
      <x:c r="I177" t="str">
        <x:v>Create a product advertisement for a fictional skincare brand called "LUMI". Show a single glass serum bottle centered on a baby blue background, with soft shadows and a clean minimal look.</x:v>
      </x:c>
      <x:c r="J177" t="str">
        <x:v>benchmark/results/images/openai/4229ba19_BA-01.png</x:v>
      </x:c>
    </x:row>
    <x:row r="178">
      <x:c r="A178" t="str">
        <x:v>E02</x:v>
      </x:c>
      <x:c r="B178" t="str">
        <x:v>BA-01</x:v>
      </x:c>
      <x:c r="C178" t="str">
        <x:v>Branding &amp; advertising</x:v>
      </x:c>
      <x:c r="D178" t="str">
        <x:v>FLUX.2 Klein 4B</x:v>
      </x:c>
      <x:c r="E178" t="str">
        <x:v>B</x:v>
      </x:c>
      <x:c r="F178" t="n">
        <x:v>4</x:v>
      </x:c>
      <x:c r="G178" t="n">
        <x:v>2</x:v>
      </x:c>
      <x:c r="H178" t="n">
        <x:v>46292.32928409722</x:v>
      </x:c>
      <x:c r="I178" t="str">
        <x:v>Create a product advertisement for a fictional skincare brand called "LUMI". Show a single glass serum bottle centered on a baby blue background, with soft shadows and a clean minimal look.</x:v>
      </x:c>
      <x:c r="J178" t="str">
        <x:v>benchmark/results/open_source/flux2-klein/q4_k_m/512/images/2a0777a6_BA-01.png</x:v>
      </x:c>
    </x:row>
    <x:row r="179">
      <x:c r="A179" t="str">
        <x:v>E02</x:v>
      </x:c>
      <x:c r="B179" t="str">
        <x:v>BA-01</x:v>
      </x:c>
      <x:c r="C179" t="str">
        <x:v>Branding &amp; advertising</x:v>
      </x:c>
      <x:c r="D179" t="str">
        <x:v>Z-Image Turbo</x:v>
      </x:c>
      <x:c r="E179" t="str">
        <x:v>C</x:v>
      </x:c>
      <x:c r="F179" t="n">
        <x:v>5</x:v>
      </x:c>
      <x:c r="G179" t="n">
        <x:v>1</x:v>
      </x:c>
      <x:c r="H179" t="n">
        <x:v>46292.32928409722</x:v>
      </x:c>
      <x:c r="I179" t="str">
        <x:v>Create a product advertisement for a fictional skincare brand called "LUMI". Show a single glass serum bottle centered on a baby blue background, with soft shadows and a clean minimal look.</x:v>
      </x:c>
      <x:c r="J179" t="str">
        <x:v>benchmark/results/open_source/z-image-turbo/w4/512/images/BA-01.png</x:v>
      </x:c>
    </x:row>
    <x:row r="180">
      <x:c r="A180" t="str">
        <x:v>E02</x:v>
      </x:c>
      <x:c r="B180" t="str">
        <x:v>BA-01</x:v>
      </x:c>
      <x:c r="C180" t="str">
        <x:v>Branding &amp; advertising</x:v>
      </x:c>
      <x:c r="D180" t="str">
        <x:v>FLUX 2 Pro</x:v>
      </x:c>
      <x:c r="E180" t="str">
        <x:v>D</x:v>
      </x:c>
      <x:c r="F180" t="n">
        <x:v>3</x:v>
      </x:c>
      <x:c r="G180" t="n">
        <x:v>3</x:v>
      </x:c>
      <x:c r="H180" t="n">
        <x:v>46292.32928409722</x:v>
      </x:c>
      <x:c r="I180" t="str">
        <x:v>Create a product advertisement for a fictional skincare brand called "LUMI". Show a single glass serum bottle centered on a baby blue background, with soft shadows and a clean minimal look.</x:v>
      </x:c>
      <x:c r="J180" t="str">
        <x:v>benchmark/results/images/bfl/4229ba19_BA-01.png</x:v>
      </x:c>
    </x:row>
    <x:row r="181">
      <x:c r="A181" t="str">
        <x:v>E02</x:v>
      </x:c>
      <x:c r="B181" t="str">
        <x:v>BA-01</x:v>
      </x:c>
      <x:c r="C181" t="str">
        <x:v>Branding &amp; advertising</x:v>
      </x:c>
      <x:c r="D181" t="str">
        <x:v>Gemini 3.1 Flash Image</x:v>
      </x:c>
      <x:c r="E181" t="str">
        <x:v>E</x:v>
      </x:c>
      <x:c r="F181" t="n">
        <x:v>1</x:v>
      </x:c>
      <x:c r="G181" t="n">
        <x:v>5</x:v>
      </x:c>
      <x:c r="H181" t="n">
        <x:v>46292.32928409722</x:v>
      </x:c>
      <x:c r="I181" t="str">
        <x:v>Create a product advertisement for a fictional skincare brand called "LUMI". Show a single glass serum bottle centered on a baby blue background, with soft shadows and a clean minimal look.</x:v>
      </x:c>
      <x:c r="J181" t="str">
        <x:v>benchmark/results/images/google/ab9f43fe_BA-01.png</x:v>
      </x:c>
    </x:row>
    <x:row r="182">
      <x:c r="A182" t="str">
        <x:v>E02</x:v>
      </x:c>
      <x:c r="B182" t="str">
        <x:v>BA-02</x:v>
      </x:c>
      <x:c r="C182" t="str">
        <x:v>Branding &amp; advertising</x:v>
      </x:c>
      <x:c r="D182" t="str">
        <x:v>FLUX 2 Pro</x:v>
      </x:c>
      <x:c r="E182" t="str">
        <x:v>A</x:v>
      </x:c>
      <x:c r="F182" t="n">
        <x:v>3</x:v>
      </x:c>
      <x:c r="G182" t="n">
        <x:v>3</x:v>
      </x:c>
      <x:c r="H182" t="n">
        <x:v>46292.32970005787</x:v>
      </x:c>
      <x:c r="I182" t="str">
        <x:v>Create a social media advertisement for a fictional sportswear brand called "VORA". Show a white sneaker on a dark pedestal with orange accents, dramatic side lighting, and negative space on the left for advertising copy.</x:v>
      </x:c>
      <x:c r="J182" t="str">
        <x:v>benchmark/results/images/bfl/4229ba19_BA-02.png</x:v>
      </x:c>
    </x:row>
    <x:row r="183">
      <x:c r="A183" t="str">
        <x:v>E02</x:v>
      </x:c>
      <x:c r="B183" t="str">
        <x:v>BA-02</x:v>
      </x:c>
      <x:c r="C183" t="str">
        <x:v>Branding &amp; advertising</x:v>
      </x:c>
      <x:c r="D183" t="str">
        <x:v>Z-Image Turbo</x:v>
      </x:c>
      <x:c r="E183" t="str">
        <x:v>B</x:v>
      </x:c>
      <x:c r="F183" t="n">
        <x:v>4</x:v>
      </x:c>
      <x:c r="G183" t="n">
        <x:v>2</x:v>
      </x:c>
      <x:c r="H183" t="n">
        <x:v>46292.32970005787</x:v>
      </x:c>
      <x:c r="I183" t="str">
        <x:v>Create a social media advertisement for a fictional sportswear brand called "VORA". Show a white sneaker on a dark pedestal with orange accents, dramatic side lighting, and negative space on the left for advertising copy.</x:v>
      </x:c>
      <x:c r="J183" t="str">
        <x:v>benchmark/results/open_source/z-image-turbo/w4/512/images/BA-02.png</x:v>
      </x:c>
    </x:row>
    <x:row r="184">
      <x:c r="A184" t="str">
        <x:v>E02</x:v>
      </x:c>
      <x:c r="B184" t="str">
        <x:v>BA-02</x:v>
      </x:c>
      <x:c r="C184" t="str">
        <x:v>Branding &amp; advertising</x:v>
      </x:c>
      <x:c r="D184" t="str">
        <x:v>GPT Image 2</x:v>
      </x:c>
      <x:c r="E184" t="str">
        <x:v>C</x:v>
      </x:c>
      <x:c r="F184" t="n">
        <x:v>2</x:v>
      </x:c>
      <x:c r="G184" t="n">
        <x:v>4</x:v>
      </x:c>
      <x:c r="H184" t="n">
        <x:v>46292.32970005787</x:v>
      </x:c>
      <x:c r="I184" t="str">
        <x:v>Create a social media advertisement for a fictional sportswear brand called "VORA". Show a white sneaker on a dark pedestal with orange accents, dramatic side lighting, and negative space on the left for advertising copy.</x:v>
      </x:c>
      <x:c r="J184" t="str">
        <x:v>benchmark/results/images/openai/4229ba19_BA-02.png</x:v>
      </x:c>
    </x:row>
    <x:row r="185">
      <x:c r="A185" t="str">
        <x:v>E02</x:v>
      </x:c>
      <x:c r="B185" t="str">
        <x:v>BA-02</x:v>
      </x:c>
      <x:c r="C185" t="str">
        <x:v>Branding &amp; advertising</x:v>
      </x:c>
      <x:c r="D185" t="str">
        <x:v>Gemini 3.1 Flash Image</x:v>
      </x:c>
      <x:c r="E185" t="str">
        <x:v>D</x:v>
      </x:c>
      <x:c r="F185" t="n">
        <x:v>1</x:v>
      </x:c>
      <x:c r="G185" t="n">
        <x:v>5</x:v>
      </x:c>
      <x:c r="H185" t="n">
        <x:v>46292.32970005787</x:v>
      </x:c>
      <x:c r="I185" t="str">
        <x:v>Create a social media advertisement for a fictional sportswear brand called "VORA". Show a white sneaker on a dark pedestal with orange accents, dramatic side lighting, and negative space on the left for advertising copy.</x:v>
      </x:c>
      <x:c r="J185" t="str">
        <x:v>benchmark/results/images/google/ab9f43fe_BA-02.png</x:v>
      </x:c>
    </x:row>
    <x:row r="186">
      <x:c r="A186" t="str">
        <x:v>E02</x:v>
      </x:c>
      <x:c r="B186" t="str">
        <x:v>BA-02</x:v>
      </x:c>
      <x:c r="C186" t="str">
        <x:v>Branding &amp; advertising</x:v>
      </x:c>
      <x:c r="D186" t="str">
        <x:v>FLUX.2 Klein 4B</x:v>
      </x:c>
      <x:c r="E186" t="str">
        <x:v>E</x:v>
      </x:c>
      <x:c r="F186" t="n">
        <x:v>5</x:v>
      </x:c>
      <x:c r="G186" t="n">
        <x:v>1</x:v>
      </x:c>
      <x:c r="H186" t="n">
        <x:v>46292.32970005787</x:v>
      </x:c>
      <x:c r="I186" t="str">
        <x:v>Create a social media advertisement for a fictional sportswear brand called "VORA". Show a white sneaker on a dark pedestal with orange accents, dramatic side lighting, and negative space on the left for advertising copy.</x:v>
      </x:c>
      <x:c r="J186" t="str">
        <x:v>benchmark/results/open_source/flux2-klein/q4_k_m/512/images/2a0777a6_BA-02.png</x:v>
      </x:c>
    </x:row>
    <x:row r="187">
      <x:c r="A187" t="str">
        <x:v>E02</x:v>
      </x:c>
      <x:c r="B187" t="str">
        <x:v>BA-03</x:v>
      </x:c>
      <x:c r="C187" t="str">
        <x:v>Branding &amp; advertising</x:v>
      </x:c>
      <x:c r="D187" t="str">
        <x:v>Gemini 3.1 Flash Image</x:v>
      </x:c>
      <x:c r="E187" t="str">
        <x:v>A</x:v>
      </x:c>
      <x:c r="F187" t="n">
        <x:v>2</x:v>
      </x:c>
      <x:c r="G187" t="n">
        <x:v>4</x:v>
      </x:c>
      <x:c r="H187" t="n">
        <x:v>46292.33083521991</x:v>
      </x:c>
      <x:c r="I187" t="str">
        <x:v>Create a promotional advertisement for a fictional coffee brand called "NOVA". Show a takeaway coffee cup beside scattered coffee beans on a warm beige surface. Use soft morning lighting, a modern premium style, and include the brand name "NOVA" clearly on the cup.</x:v>
      </x:c>
      <x:c r="J187" t="str">
        <x:v>benchmark/results/images/google/ab9f43fe_BA-03.png</x:v>
      </x:c>
    </x:row>
    <x:row r="188">
      <x:c r="A188" t="str">
        <x:v>E02</x:v>
      </x:c>
      <x:c r="B188" t="str">
        <x:v>BA-03</x:v>
      </x:c>
      <x:c r="C188" t="str">
        <x:v>Branding &amp; advertising</x:v>
      </x:c>
      <x:c r="D188" t="str">
        <x:v>FLUX 2 Pro</x:v>
      </x:c>
      <x:c r="E188" t="str">
        <x:v>B</x:v>
      </x:c>
      <x:c r="F188" t="n">
        <x:v>3</x:v>
      </x:c>
      <x:c r="G188" t="n">
        <x:v>3</x:v>
      </x:c>
      <x:c r="H188" t="n">
        <x:v>46292.33083521991</x:v>
      </x:c>
      <x:c r="I188" t="str">
        <x:v>Create a promotional advertisement for a fictional coffee brand called "NOVA". Show a takeaway coffee cup beside scattered coffee beans on a warm beige surface. Use soft morning lighting, a modern premium style, and include the brand name "NOVA" clearly on the cup.</x:v>
      </x:c>
      <x:c r="J188" t="str">
        <x:v>benchmark/results/images/bfl/4229ba19_BA-03.png</x:v>
      </x:c>
    </x:row>
    <x:row r="189">
      <x:c r="A189" t="str">
        <x:v>E02</x:v>
      </x:c>
      <x:c r="B189" t="str">
        <x:v>BA-03</x:v>
      </x:c>
      <x:c r="C189" t="str">
        <x:v>Branding &amp; advertising</x:v>
      </x:c>
      <x:c r="D189" t="str">
        <x:v>Z-Image Turbo</x:v>
      </x:c>
      <x:c r="E189" t="str">
        <x:v>C</x:v>
      </x:c>
      <x:c r="F189" t="n">
        <x:v>5</x:v>
      </x:c>
      <x:c r="G189" t="n">
        <x:v>1</x:v>
      </x:c>
      <x:c r="H189" t="n">
        <x:v>46292.33083521991</x:v>
      </x:c>
      <x:c r="I189" t="str">
        <x:v>Create a promotional advertisement for a fictional coffee brand called "NOVA". Show a takeaway coffee cup beside scattered coffee beans on a warm beige surface. Use soft morning lighting, a modern premium style, and include the brand name "NOVA" clearly on the cup.</x:v>
      </x:c>
      <x:c r="J189" t="str">
        <x:v>benchmark/results/open_source/z-image-turbo/w4/512/images/BA-03.png</x:v>
      </x:c>
    </x:row>
    <x:row r="190">
      <x:c r="A190" t="str">
        <x:v>E02</x:v>
      </x:c>
      <x:c r="B190" t="str">
        <x:v>BA-03</x:v>
      </x:c>
      <x:c r="C190" t="str">
        <x:v>Branding &amp; advertising</x:v>
      </x:c>
      <x:c r="D190" t="str">
        <x:v>GPT Image 2</x:v>
      </x:c>
      <x:c r="E190" t="str">
        <x:v>D</x:v>
      </x:c>
      <x:c r="F190" t="n">
        <x:v>1</x:v>
      </x:c>
      <x:c r="G190" t="n">
        <x:v>5</x:v>
      </x:c>
      <x:c r="H190" t="n">
        <x:v>46292.33083521991</x:v>
      </x:c>
      <x:c r="I190" t="str">
        <x:v>Create a promotional advertisement for a fictional coffee brand called "NOVA". Show a takeaway coffee cup beside scattered coffee beans on a warm beige surface. Use soft morning lighting, a modern premium style, and include the brand name "NOVA" clearly on the cup.</x:v>
      </x:c>
      <x:c r="J190" t="str">
        <x:v>benchmark/results/images/openai/4229ba19_BA-03.png</x:v>
      </x:c>
    </x:row>
    <x:row r="191">
      <x:c r="A191" t="str">
        <x:v>E02</x:v>
      </x:c>
      <x:c r="B191" t="str">
        <x:v>BA-03</x:v>
      </x:c>
      <x:c r="C191" t="str">
        <x:v>Branding &amp; advertising</x:v>
      </x:c>
      <x:c r="D191" t="str">
        <x:v>FLUX.2 Klein 4B</x:v>
      </x:c>
      <x:c r="E191" t="str">
        <x:v>E</x:v>
      </x:c>
      <x:c r="F191" t="n">
        <x:v>4</x:v>
      </x:c>
      <x:c r="G191" t="n">
        <x:v>2</x:v>
      </x:c>
      <x:c r="H191" t="n">
        <x:v>46292.33083521991</x:v>
      </x:c>
      <x:c r="I191" t="str">
        <x:v>Create a promotional advertisement for a fictional coffee brand called "NOVA". Show a takeaway coffee cup beside scattered coffee beans on a warm beige surface. Use soft morning lighting, a modern premium style, and include the brand name "NOVA" clearly on the cup.</x:v>
      </x:c>
      <x:c r="J191" t="str">
        <x:v>benchmark/results/open_source/flux2-klein/q4_k_m/512/images/2a0777a6_BA-03.png</x:v>
      </x:c>
    </x:row>
    <x:row r="192">
      <x:c r="A192" t="str">
        <x:v>E02</x:v>
      </x:c>
      <x:c r="B192" t="str">
        <x:v>BA-04</x:v>
      </x:c>
      <x:c r="C192" t="str">
        <x:v>Branding &amp; advertising</x:v>
      </x:c>
      <x:c r="D192" t="str">
        <x:v>FLUX 2 Pro</x:v>
      </x:c>
      <x:c r="E192" t="str">
        <x:v>A</x:v>
      </x:c>
      <x:c r="F192" t="n">
        <x:v>4</x:v>
      </x:c>
      <x:c r="G192" t="n">
        <x:v>2</x:v>
      </x:c>
      <x:c r="H192" t="n">
        <x:v>46292.33134550926</x:v>
      </x:c>
      <x:c r="I192"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192" t="str">
        <x:v>benchmark/results/images/bfl/4229ba19_BA-04.png</x:v>
      </x:c>
    </x:row>
    <x:row r="193">
      <x:c r="A193" t="str">
        <x:v>E02</x:v>
      </x:c>
      <x:c r="B193" t="str">
        <x:v>BA-04</x:v>
      </x:c>
      <x:c r="C193" t="str">
        <x:v>Branding &amp; advertising</x:v>
      </x:c>
      <x:c r="D193" t="str">
        <x:v>Gemini 3.1 Flash Image</x:v>
      </x:c>
      <x:c r="E193" t="str">
        <x:v>B</x:v>
      </x:c>
      <x:c r="F193" t="n">
        <x:v>1</x:v>
      </x:c>
      <x:c r="G193" t="n">
        <x:v>5</x:v>
      </x:c>
      <x:c r="H193" t="n">
        <x:v>46292.33134550926</x:v>
      </x:c>
      <x:c r="I193"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193" t="str">
        <x:v>benchmark/results/images/google/ab9f43fe_BA-04.png</x:v>
      </x:c>
    </x:row>
    <x:row r="194">
      <x:c r="A194" t="str">
        <x:v>E02</x:v>
      </x:c>
      <x:c r="B194" t="str">
        <x:v>BA-04</x:v>
      </x:c>
      <x:c r="C194" t="str">
        <x:v>Branding &amp; advertising</x:v>
      </x:c>
      <x:c r="D194" t="str">
        <x:v>GPT Image 2</x:v>
      </x:c>
      <x:c r="E194" t="str">
        <x:v>C</x:v>
      </x:c>
      <x:c r="F194" t="n">
        <x:v>3</x:v>
      </x:c>
      <x:c r="G194" t="n">
        <x:v>3</x:v>
      </x:c>
      <x:c r="H194" t="n">
        <x:v>46292.33134550926</x:v>
      </x:c>
      <x:c r="I194"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194" t="str">
        <x:v>benchmark/results/images/openai/4229ba19_BA-04.png</x:v>
      </x:c>
    </x:row>
    <x:row r="195">
      <x:c r="A195" t="str">
        <x:v>E02</x:v>
      </x:c>
      <x:c r="B195" t="str">
        <x:v>BA-04</x:v>
      </x:c>
      <x:c r="C195" t="str">
        <x:v>Branding &amp; advertising</x:v>
      </x:c>
      <x:c r="D195" t="str">
        <x:v>FLUX.2 Klein 4B</x:v>
      </x:c>
      <x:c r="E195" t="str">
        <x:v>D</x:v>
      </x:c>
      <x:c r="F195" t="n">
        <x:v>2</x:v>
      </x:c>
      <x:c r="G195" t="n">
        <x:v>4</x:v>
      </x:c>
      <x:c r="H195" t="n">
        <x:v>46292.33134550926</x:v>
      </x:c>
      <x:c r="I195"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195" t="str">
        <x:v>benchmark/results/open_source/flux2-klein/q4_k_m/512/images/2a0777a6_BA-04.png</x:v>
      </x:c>
    </x:row>
    <x:row r="196">
      <x:c r="A196" t="str">
        <x:v>E02</x:v>
      </x:c>
      <x:c r="B196" t="str">
        <x:v>BA-04</x:v>
      </x:c>
      <x:c r="C196" t="str">
        <x:v>Branding &amp; advertising</x:v>
      </x:c>
      <x:c r="D196" t="str">
        <x:v>Z-Image Turbo</x:v>
      </x:c>
      <x:c r="E196" t="str">
        <x:v>E</x:v>
      </x:c>
      <x:c r="F196" t="n">
        <x:v>5</x:v>
      </x:c>
      <x:c r="G196" t="n">
        <x:v>1</x:v>
      </x:c>
      <x:c r="H196" t="n">
        <x:v>46292.33134550926</x:v>
      </x:c>
      <x:c r="I196"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196" t="str">
        <x:v>benchmark/results/open_source/z-image-turbo/w4/512/images/BA-04.png</x:v>
      </x:c>
    </x:row>
    <x:row r="197">
      <x:c r="A197" t="str">
        <x:v>E02</x:v>
      </x:c>
      <x:c r="B197" t="str">
        <x:v>BA-05</x:v>
      </x:c>
      <x:c r="C197" t="str">
        <x:v>Branding &amp; advertising</x:v>
      </x:c>
      <x:c r="D197" t="str">
        <x:v>Gemini 3.1 Flash Image</x:v>
      </x:c>
      <x:c r="E197" t="str">
        <x:v>A</x:v>
      </x:c>
      <x:c r="F197" t="n">
        <x:v>3</x:v>
      </x:c>
      <x:c r="G197" t="n">
        <x:v>3</x:v>
      </x:c>
      <x:c r="H197" t="n">
        <x:v>46292.33170726852</x:v>
      </x:c>
      <x:c r="I197"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197" t="str">
        <x:v>benchmark/results/images/google/ab9f43fe_BA-05.png</x:v>
      </x:c>
    </x:row>
    <x:row r="198">
      <x:c r="A198" t="str">
        <x:v>E02</x:v>
      </x:c>
      <x:c r="B198" t="str">
        <x:v>BA-05</x:v>
      </x:c>
      <x:c r="C198" t="str">
        <x:v>Branding &amp; advertising</x:v>
      </x:c>
      <x:c r="D198" t="str">
        <x:v>FLUX.2 Klein 4B</x:v>
      </x:c>
      <x:c r="E198" t="str">
        <x:v>B</x:v>
      </x:c>
      <x:c r="F198" t="n">
        <x:v>4</x:v>
      </x:c>
      <x:c r="G198" t="n">
        <x:v>2</x:v>
      </x:c>
      <x:c r="H198" t="n">
        <x:v>46292.33170726852</x:v>
      </x:c>
      <x:c r="I198"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198" t="str">
        <x:v>benchmark/results/open_source/flux2-klein/q4_k_m/512/images/2a0777a6_BA-05.png</x:v>
      </x:c>
    </x:row>
    <x:row r="199">
      <x:c r="A199" t="str">
        <x:v>E02</x:v>
      </x:c>
      <x:c r="B199" t="str">
        <x:v>BA-05</x:v>
      </x:c>
      <x:c r="C199" t="str">
        <x:v>Branding &amp; advertising</x:v>
      </x:c>
      <x:c r="D199" t="str">
        <x:v>FLUX 2 Pro</x:v>
      </x:c>
      <x:c r="E199" t="str">
        <x:v>C</x:v>
      </x:c>
      <x:c r="F199" t="n">
        <x:v>2</x:v>
      </x:c>
      <x:c r="G199" t="n">
        <x:v>4</x:v>
      </x:c>
      <x:c r="H199" t="n">
        <x:v>46292.33170726852</x:v>
      </x:c>
      <x:c r="I199"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199" t="str">
        <x:v>benchmark/results/images/bfl/4229ba19_BA-05.png</x:v>
      </x:c>
    </x:row>
    <x:row r="200">
      <x:c r="A200" t="str">
        <x:v>E02</x:v>
      </x:c>
      <x:c r="B200" t="str">
        <x:v>BA-05</x:v>
      </x:c>
      <x:c r="C200" t="str">
        <x:v>Branding &amp; advertising</x:v>
      </x:c>
      <x:c r="D200" t="str">
        <x:v>Z-Image Turbo</x:v>
      </x:c>
      <x:c r="E200" t="str">
        <x:v>D</x:v>
      </x:c>
      <x:c r="F200" t="n">
        <x:v>5</x:v>
      </x:c>
      <x:c r="G200" t="n">
        <x:v>1</x:v>
      </x:c>
      <x:c r="H200" t="n">
        <x:v>46292.33170726852</x:v>
      </x:c>
      <x:c r="I200"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200" t="str">
        <x:v>benchmark/results/open_source/z-image-turbo/w4/512/images/BA-05.png</x:v>
      </x:c>
    </x:row>
    <x:row r="201">
      <x:c r="A201" t="str">
        <x:v>E02</x:v>
      </x:c>
      <x:c r="B201" t="str">
        <x:v>BA-05</x:v>
      </x:c>
      <x:c r="C201" t="str">
        <x:v>Branding &amp; advertising</x:v>
      </x:c>
      <x:c r="D201" t="str">
        <x:v>GPT Image 2</x:v>
      </x:c>
      <x:c r="E201" t="str">
        <x:v>E</x:v>
      </x:c>
      <x:c r="F201" t="n">
        <x:v>1</x:v>
      </x:c>
      <x:c r="G201" t="n">
        <x:v>5</x:v>
      </x:c>
      <x:c r="H201" t="n">
        <x:v>46292.33170726852</x:v>
      </x:c>
      <x:c r="I201"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201" t="str">
        <x:v>benchmark/results/images/openai/4229ba19_BA-05.png</x:v>
      </x:c>
    </x:row>
    <x:row r="202">
      <x:c r="A202" t="str">
        <x:v>E02</x:v>
      </x:c>
      <x:c r="B202" t="str">
        <x:v>PO-01</x:v>
      </x:c>
      <x:c r="C202" t="str">
        <x:v>Products &amp; objects</x:v>
      </x:c>
      <x:c r="D202" t="str">
        <x:v>Gemini 3.1 Flash Image</x:v>
      </x:c>
      <x:c r="E202" t="str">
        <x:v>A</x:v>
      </x:c>
      <x:c r="F202" t="n">
        <x:v>1</x:v>
      </x:c>
      <x:c r="G202" t="n">
        <x:v>5</x:v>
      </x:c>
      <x:c r="H202" t="n">
        <x:v>46292.331978090275</x:v>
      </x:c>
      <x:c r="I202" t="str">
        <x:v>A luxury perfume bottle with a square glass silhouette and gold cap, photographed on a plain grey studio background with soft shadows, product photography style.</x:v>
      </x:c>
      <x:c r="J202" t="str">
        <x:v>benchmark/results/images/google/ab9f43fe_PO-01.png</x:v>
      </x:c>
    </x:row>
    <x:row r="203">
      <x:c r="A203" t="str">
        <x:v>E02</x:v>
      </x:c>
      <x:c r="B203" t="str">
        <x:v>PO-01</x:v>
      </x:c>
      <x:c r="C203" t="str">
        <x:v>Products &amp; objects</x:v>
      </x:c>
      <x:c r="D203" t="str">
        <x:v>FLUX.2 Klein 4B</x:v>
      </x:c>
      <x:c r="E203" t="str">
        <x:v>B</x:v>
      </x:c>
      <x:c r="F203" t="n">
        <x:v>5</x:v>
      </x:c>
      <x:c r="G203" t="n">
        <x:v>1</x:v>
      </x:c>
      <x:c r="H203" t="n">
        <x:v>46292.331978090275</x:v>
      </x:c>
      <x:c r="I203" t="str">
        <x:v>A luxury perfume bottle with a square glass silhouette and gold cap, photographed on a plain grey studio background with soft shadows, product photography style.</x:v>
      </x:c>
      <x:c r="J203" t="str">
        <x:v>benchmark/results/open_source/flux2-klein/q4_k_m/512/images/2a0777a6_PO-01.png</x:v>
      </x:c>
    </x:row>
    <x:row r="204">
      <x:c r="A204" t="str">
        <x:v>E02</x:v>
      </x:c>
      <x:c r="B204" t="str">
        <x:v>PO-01</x:v>
      </x:c>
      <x:c r="C204" t="str">
        <x:v>Products &amp; objects</x:v>
      </x:c>
      <x:c r="D204" t="str">
        <x:v>FLUX 2 Pro</x:v>
      </x:c>
      <x:c r="E204" t="str">
        <x:v>C</x:v>
      </x:c>
      <x:c r="F204" t="n">
        <x:v>4</x:v>
      </x:c>
      <x:c r="G204" t="n">
        <x:v>2</x:v>
      </x:c>
      <x:c r="H204" t="n">
        <x:v>46292.331978090275</x:v>
      </x:c>
      <x:c r="I204" t="str">
        <x:v>A luxury perfume bottle with a square glass silhouette and gold cap, photographed on a plain grey studio background with soft shadows, product photography style.</x:v>
      </x:c>
      <x:c r="J204" t="str">
        <x:v>benchmark/results/images/bfl/4229ba19_PO-01.png</x:v>
      </x:c>
    </x:row>
    <x:row r="205">
      <x:c r="A205" t="str">
        <x:v>E02</x:v>
      </x:c>
      <x:c r="B205" t="str">
        <x:v>PO-01</x:v>
      </x:c>
      <x:c r="C205" t="str">
        <x:v>Products &amp; objects</x:v>
      </x:c>
      <x:c r="D205" t="str">
        <x:v>Z-Image Turbo</x:v>
      </x:c>
      <x:c r="E205" t="str">
        <x:v>D</x:v>
      </x:c>
      <x:c r="F205" t="n">
        <x:v>3</x:v>
      </x:c>
      <x:c r="G205" t="n">
        <x:v>3</x:v>
      </x:c>
      <x:c r="H205" t="n">
        <x:v>46292.331978090275</x:v>
      </x:c>
      <x:c r="I205" t="str">
        <x:v>A luxury perfume bottle with a square glass silhouette and gold cap, photographed on a plain grey studio background with soft shadows, product photography style.</x:v>
      </x:c>
      <x:c r="J205" t="str">
        <x:v>benchmark/results/open_source/z-image-turbo/w4/512/images/PO-01.png</x:v>
      </x:c>
    </x:row>
    <x:row r="206">
      <x:c r="A206" t="str">
        <x:v>E02</x:v>
      </x:c>
      <x:c r="B206" t="str">
        <x:v>PO-01</x:v>
      </x:c>
      <x:c r="C206" t="str">
        <x:v>Products &amp; objects</x:v>
      </x:c>
      <x:c r="D206" t="str">
        <x:v>GPT Image 2</x:v>
      </x:c>
      <x:c r="E206" t="str">
        <x:v>E</x:v>
      </x:c>
      <x:c r="F206" t="n">
        <x:v>2</x:v>
      </x:c>
      <x:c r="G206" t="n">
        <x:v>4</x:v>
      </x:c>
      <x:c r="H206" t="n">
        <x:v>46292.331978090275</x:v>
      </x:c>
      <x:c r="I206" t="str">
        <x:v>A luxury perfume bottle with a square glass silhouette and gold cap, photographed on a plain grey studio background with soft shadows, product photography style.</x:v>
      </x:c>
      <x:c r="J206" t="str">
        <x:v>benchmark/results/images/openai/4229ba19_PO-01.png</x:v>
      </x:c>
    </x:row>
    <x:row r="207">
      <x:c r="A207" t="str">
        <x:v>E02</x:v>
      </x:c>
      <x:c r="B207" t="str">
        <x:v>PO-02</x:v>
      </x:c>
      <x:c r="C207" t="str">
        <x:v>Products &amp; objects</x:v>
      </x:c>
      <x:c r="D207" t="str">
        <x:v>FLUX 2 Pro</x:v>
      </x:c>
      <x:c r="E207" t="str">
        <x:v>A</x:v>
      </x:c>
      <x:c r="F207" t="n">
        <x:v>3</x:v>
      </x:c>
      <x:c r="G207" t="n">
        <x:v>3</x:v>
      </x:c>
      <x:c r="H207" t="n">
        <x:v>46292.33222710648</x:v>
      </x:c>
      <x:c r="I207" t="str">
        <x:v>A round crystal perfume bottle with an amber-colored liquid, photographed on a marble countertop with soft natural light.</x:v>
      </x:c>
      <x:c r="J207" t="str">
        <x:v>benchmark/results/images/bfl/4229ba19_PO-02.png</x:v>
      </x:c>
    </x:row>
    <x:row r="208">
      <x:c r="A208" t="str">
        <x:v>E02</x:v>
      </x:c>
      <x:c r="B208" t="str">
        <x:v>PO-02</x:v>
      </x:c>
      <x:c r="C208" t="str">
        <x:v>Products &amp; objects</x:v>
      </x:c>
      <x:c r="D208" t="str">
        <x:v>Z-Image Turbo</x:v>
      </x:c>
      <x:c r="E208" t="str">
        <x:v>B</x:v>
      </x:c>
      <x:c r="F208" t="n">
        <x:v>4</x:v>
      </x:c>
      <x:c r="G208" t="n">
        <x:v>2</x:v>
      </x:c>
      <x:c r="H208" t="n">
        <x:v>46292.33222710648</x:v>
      </x:c>
      <x:c r="I208" t="str">
        <x:v>A round crystal perfume bottle with an amber-colored liquid, photographed on a marble countertop with soft natural light.</x:v>
      </x:c>
      <x:c r="J208" t="str">
        <x:v>benchmark/results/open_source/z-image-turbo/w4/512/images/PO-02.png</x:v>
      </x:c>
    </x:row>
    <x:row r="209">
      <x:c r="A209" t="str">
        <x:v>E02</x:v>
      </x:c>
      <x:c r="B209" t="str">
        <x:v>PO-02</x:v>
      </x:c>
      <x:c r="C209" t="str">
        <x:v>Products &amp; objects</x:v>
      </x:c>
      <x:c r="D209" t="str">
        <x:v>Gemini 3.1 Flash Image</x:v>
      </x:c>
      <x:c r="E209" t="str">
        <x:v>C</x:v>
      </x:c>
      <x:c r="F209" t="n">
        <x:v>1</x:v>
      </x:c>
      <x:c r="G209" t="n">
        <x:v>5</x:v>
      </x:c>
      <x:c r="H209" t="n">
        <x:v>46292.33222710648</x:v>
      </x:c>
      <x:c r="I209" t="str">
        <x:v>A round crystal perfume bottle with an amber-colored liquid, photographed on a marble countertop with soft natural light.</x:v>
      </x:c>
      <x:c r="J209" t="str">
        <x:v>benchmark/results/images/google/ab9f43fe_PO-02.png</x:v>
      </x:c>
    </x:row>
    <x:row r="210">
      <x:c r="A210" t="str">
        <x:v>E02</x:v>
      </x:c>
      <x:c r="B210" t="str">
        <x:v>PO-02</x:v>
      </x:c>
      <x:c r="C210" t="str">
        <x:v>Products &amp; objects</x:v>
      </x:c>
      <x:c r="D210" t="str">
        <x:v>FLUX.2 Klein 4B</x:v>
      </x:c>
      <x:c r="E210" t="str">
        <x:v>D</x:v>
      </x:c>
      <x:c r="F210" t="n">
        <x:v>5</x:v>
      </x:c>
      <x:c r="G210" t="n">
        <x:v>1</x:v>
      </x:c>
      <x:c r="H210" t="n">
        <x:v>46292.33222710648</x:v>
      </x:c>
      <x:c r="I210" t="str">
        <x:v>A round crystal perfume bottle with an amber-colored liquid, photographed on a marble countertop with soft natural light.</x:v>
      </x:c>
      <x:c r="J210" t="str">
        <x:v>benchmark/results/open_source/flux2-klein/q4_k_m/512/images/2a0777a6_PO-02.png</x:v>
      </x:c>
    </x:row>
    <x:row r="211">
      <x:c r="A211" t="str">
        <x:v>E02</x:v>
      </x:c>
      <x:c r="B211" t="str">
        <x:v>PO-02</x:v>
      </x:c>
      <x:c r="C211" t="str">
        <x:v>Products &amp; objects</x:v>
      </x:c>
      <x:c r="D211" t="str">
        <x:v>GPT Image 2</x:v>
      </x:c>
      <x:c r="E211" t="str">
        <x:v>E</x:v>
      </x:c>
      <x:c r="F211" t="n">
        <x:v>2</x:v>
      </x:c>
      <x:c r="G211" t="n">
        <x:v>4</x:v>
      </x:c>
      <x:c r="H211" t="n">
        <x:v>46292.33222710648</x:v>
      </x:c>
      <x:c r="I211" t="str">
        <x:v>A round crystal perfume bottle with an amber-colored liquid, photographed on a marble countertop with soft natural light.</x:v>
      </x:c>
      <x:c r="J211" t="str">
        <x:v>benchmark/results/images/openai/4229ba19_PO-02.png</x:v>
      </x:c>
    </x:row>
    <x:row r="212">
      <x:c r="A212" t="str">
        <x:v>E02</x:v>
      </x:c>
      <x:c r="B212" t="str">
        <x:v>PO-03</x:v>
      </x:c>
      <x:c r="C212" t="str">
        <x:v>Products &amp; objects</x:v>
      </x:c>
      <x:c r="D212" t="str">
        <x:v>Gemini 3.1 Flash Image</x:v>
      </x:c>
      <x:c r="E212" t="str">
        <x:v>A</x:v>
      </x:c>
      <x:c r="F212" t="n">
        <x:v>1</x:v>
      </x:c>
      <x:c r="G212" t="n">
        <x:v>5</x:v>
      </x:c>
      <x:c r="H212" t="n">
        <x:v>46292.332500254626</x:v>
      </x:c>
      <x:c r="I212" t="str">
        <x:v>A trio of perfume bottles of different sizes arranged next to a small green plant and a few scattered rose petals, soft natural lighting.</x:v>
      </x:c>
      <x:c r="J212" t="str">
        <x:v>benchmark/results/images/google/ab9f43fe_PO-03.png</x:v>
      </x:c>
    </x:row>
    <x:row r="213">
      <x:c r="A213" t="str">
        <x:v>E02</x:v>
      </x:c>
      <x:c r="B213" t="str">
        <x:v>PO-03</x:v>
      </x:c>
      <x:c r="C213" t="str">
        <x:v>Products &amp; objects</x:v>
      </x:c>
      <x:c r="D213" t="str">
        <x:v>FLUX 2 Pro</x:v>
      </x:c>
      <x:c r="E213" t="str">
        <x:v>B</x:v>
      </x:c>
      <x:c r="F213" t="n">
        <x:v>4</x:v>
      </x:c>
      <x:c r="G213" t="n">
        <x:v>2</x:v>
      </x:c>
      <x:c r="H213" t="n">
        <x:v>46292.332500254626</x:v>
      </x:c>
      <x:c r="I213" t="str">
        <x:v>A trio of perfume bottles of different sizes arranged next to a small green plant and a few scattered rose petals, soft natural lighting.</x:v>
      </x:c>
      <x:c r="J213" t="str">
        <x:v>benchmark/results/images/bfl/4229ba19_PO-03.png</x:v>
      </x:c>
    </x:row>
    <x:row r="214">
      <x:c r="A214" t="str">
        <x:v>E02</x:v>
      </x:c>
      <x:c r="B214" t="str">
        <x:v>PO-03</x:v>
      </x:c>
      <x:c r="C214" t="str">
        <x:v>Products &amp; objects</x:v>
      </x:c>
      <x:c r="D214" t="str">
        <x:v>FLUX.2 Klein 4B</x:v>
      </x:c>
      <x:c r="E214" t="str">
        <x:v>C</x:v>
      </x:c>
      <x:c r="F214" t="n">
        <x:v>3</x:v>
      </x:c>
      <x:c r="G214" t="n">
        <x:v>3</x:v>
      </x:c>
      <x:c r="H214" t="n">
        <x:v>46292.332500254626</x:v>
      </x:c>
      <x:c r="I214" t="str">
        <x:v>A trio of perfume bottles of different sizes arranged next to a small green plant and a few scattered rose petals, soft natural lighting.</x:v>
      </x:c>
      <x:c r="J214" t="str">
        <x:v>benchmark/results/open_source/flux2-klein/q4_k_m/512/images/2a0777a6_PO-03.png</x:v>
      </x:c>
    </x:row>
    <x:row r="215">
      <x:c r="A215" t="str">
        <x:v>E02</x:v>
      </x:c>
      <x:c r="B215" t="str">
        <x:v>PO-03</x:v>
      </x:c>
      <x:c r="C215" t="str">
        <x:v>Products &amp; objects</x:v>
      </x:c>
      <x:c r="D215" t="str">
        <x:v>Z-Image Turbo</x:v>
      </x:c>
      <x:c r="E215" t="str">
        <x:v>D</x:v>
      </x:c>
      <x:c r="F215" t="n">
        <x:v>5</x:v>
      </x:c>
      <x:c r="G215" t="n">
        <x:v>1</x:v>
      </x:c>
      <x:c r="H215" t="n">
        <x:v>46292.332500254626</x:v>
      </x:c>
      <x:c r="I215" t="str">
        <x:v>A trio of perfume bottles of different sizes arranged next to a small green plant and a few scattered rose petals, soft natural lighting.</x:v>
      </x:c>
      <x:c r="J215" t="str">
        <x:v>benchmark/results/open_source/z-image-turbo/w4/512/images/PO-03.png</x:v>
      </x:c>
    </x:row>
    <x:row r="216">
      <x:c r="A216" t="str">
        <x:v>E02</x:v>
      </x:c>
      <x:c r="B216" t="str">
        <x:v>PO-03</x:v>
      </x:c>
      <x:c r="C216" t="str">
        <x:v>Products &amp; objects</x:v>
      </x:c>
      <x:c r="D216" t="str">
        <x:v>GPT Image 2</x:v>
      </x:c>
      <x:c r="E216" t="str">
        <x:v>E</x:v>
      </x:c>
      <x:c r="F216" t="n">
        <x:v>2</x:v>
      </x:c>
      <x:c r="G216" t="n">
        <x:v>4</x:v>
      </x:c>
      <x:c r="H216" t="n">
        <x:v>46292.332500254626</x:v>
      </x:c>
      <x:c r="I216" t="str">
        <x:v>A trio of perfume bottles of different sizes arranged next to a small green plant and a few scattered rose petals, soft natural lighting.</x:v>
      </x:c>
      <x:c r="J216" t="str">
        <x:v>benchmark/results/images/openai/4229ba19_PO-03.png</x:v>
      </x:c>
    </x:row>
    <x:row r="217">
      <x:c r="A217" t="str">
        <x:v>E02</x:v>
      </x:c>
      <x:c r="B217" t="str">
        <x:v>PO-04</x:v>
      </x:c>
      <x:c r="C217" t="str">
        <x:v>Products &amp; objects</x:v>
      </x:c>
      <x:c r="D217" t="str">
        <x:v>GPT Image 2</x:v>
      </x:c>
      <x:c r="E217" t="str">
        <x:v>A</x:v>
      </x:c>
      <x:c r="F217" t="n">
        <x:v>2</x:v>
      </x:c>
      <x:c r="G217" t="n">
        <x:v>4</x:v>
      </x:c>
      <x:c r="H217" t="n">
        <x:v>46292.33291373843</x:v>
      </x:c>
      <x:c r="I217" t="str">
        <x:v>A tall slender perfume bottle standing on a wooden surface, photographed from a slight low angle, warm dramatic side lighting.</x:v>
      </x:c>
      <x:c r="J217" t="str">
        <x:v>benchmark/results/images/openai/4229ba19_PO-04.png</x:v>
      </x:c>
    </x:row>
    <x:row r="218">
      <x:c r="A218" t="str">
        <x:v>E02</x:v>
      </x:c>
      <x:c r="B218" t="str">
        <x:v>PO-04</x:v>
      </x:c>
      <x:c r="C218" t="str">
        <x:v>Products &amp; objects</x:v>
      </x:c>
      <x:c r="D218" t="str">
        <x:v>Gemini 3.1 Flash Image</x:v>
      </x:c>
      <x:c r="E218" t="str">
        <x:v>B</x:v>
      </x:c>
      <x:c r="F218" t="n">
        <x:v>1</x:v>
      </x:c>
      <x:c r="G218" t="n">
        <x:v>5</x:v>
      </x:c>
      <x:c r="H218" t="n">
        <x:v>46292.33291373843</x:v>
      </x:c>
      <x:c r="I218" t="str">
        <x:v>A tall slender perfume bottle standing on a wooden surface, photographed from a slight low angle, warm dramatic side lighting.</x:v>
      </x:c>
      <x:c r="J218" t="str">
        <x:v>benchmark/results/images/google/ab9f43fe_PO-04.png</x:v>
      </x:c>
    </x:row>
    <x:row r="219">
      <x:c r="A219" t="str">
        <x:v>E02</x:v>
      </x:c>
      <x:c r="B219" t="str">
        <x:v>PO-04</x:v>
      </x:c>
      <x:c r="C219" t="str">
        <x:v>Products &amp; objects</x:v>
      </x:c>
      <x:c r="D219" t="str">
        <x:v>FLUX 2 Pro</x:v>
      </x:c>
      <x:c r="E219" t="str">
        <x:v>C</x:v>
      </x:c>
      <x:c r="F219" t="n">
        <x:v>3</x:v>
      </x:c>
      <x:c r="G219" t="n">
        <x:v>3</x:v>
      </x:c>
      <x:c r="H219" t="n">
        <x:v>46292.33291373843</x:v>
      </x:c>
      <x:c r="I219" t="str">
        <x:v>A tall slender perfume bottle standing on a wooden surface, photographed from a slight low angle, warm dramatic side lighting.</x:v>
      </x:c>
      <x:c r="J219" t="str">
        <x:v>benchmark/results/images/bfl/4229ba19_PO-04.png</x:v>
      </x:c>
    </x:row>
    <x:row r="220">
      <x:c r="A220" t="str">
        <x:v>E02</x:v>
      </x:c>
      <x:c r="B220" t="str">
        <x:v>PO-04</x:v>
      </x:c>
      <x:c r="C220" t="str">
        <x:v>Products &amp; objects</x:v>
      </x:c>
      <x:c r="D220" t="str">
        <x:v>FLUX.2 Klein 4B</x:v>
      </x:c>
      <x:c r="E220" t="str">
        <x:v>D</x:v>
      </x:c>
      <x:c r="F220" t="n">
        <x:v>4</x:v>
      </x:c>
      <x:c r="G220" t="n">
        <x:v>2</x:v>
      </x:c>
      <x:c r="H220" t="n">
        <x:v>46292.33291373843</x:v>
      </x:c>
      <x:c r="I220" t="str">
        <x:v>A tall slender perfume bottle standing on a wooden surface, photographed from a slight low angle, warm dramatic side lighting.</x:v>
      </x:c>
      <x:c r="J220" t="str">
        <x:v>benchmark/results/open_source/flux2-klein/q4_k_m/512/images/2a0777a6_PO-04.png</x:v>
      </x:c>
    </x:row>
    <x:row r="221">
      <x:c r="A221" t="str">
        <x:v>E02</x:v>
      </x:c>
      <x:c r="B221" t="str">
        <x:v>PO-04</x:v>
      </x:c>
      <x:c r="C221" t="str">
        <x:v>Products &amp; objects</x:v>
      </x:c>
      <x:c r="D221" t="str">
        <x:v>Z-Image Turbo</x:v>
      </x:c>
      <x:c r="E221" t="str">
        <x:v>E</x:v>
      </x:c>
      <x:c r="F221" t="n">
        <x:v>5</x:v>
      </x:c>
      <x:c r="G221" t="n">
        <x:v>1</x:v>
      </x:c>
      <x:c r="H221" t="n">
        <x:v>46292.33291373843</x:v>
      </x:c>
      <x:c r="I221" t="str">
        <x:v>A tall slender perfume bottle standing on a wooden surface, photographed from a slight low angle, warm dramatic side lighting.</x:v>
      </x:c>
      <x:c r="J221" t="str">
        <x:v>benchmark/results/open_source/z-image-turbo/w4/512/images/PO-04.png</x:v>
      </x:c>
    </x:row>
    <x:row r="222">
      <x:c r="A222" t="str">
        <x:v>E02</x:v>
      </x:c>
      <x:c r="B222" t="str">
        <x:v>PO-05</x:v>
      </x:c>
      <x:c r="C222" t="str">
        <x:v>Products &amp; objects</x:v>
      </x:c>
      <x:c r="D222" t="str">
        <x:v>Z-Image Turbo</x:v>
      </x:c>
      <x:c r="E222" t="str">
        <x:v>A</x:v>
      </x:c>
      <x:c r="F222" t="n">
        <x:v>5</x:v>
      </x:c>
      <x:c r="G222" t="n">
        <x:v>1</x:v>
      </x:c>
      <x:c r="H222" t="n">
        <x:v>46292.33324008102</x:v>
      </x:c>
      <x:c r="I222" t="str">
        <x:v>A perfume bottle with its box slightly open beside it, floating layout on a bright blue gradient background.</x:v>
      </x:c>
      <x:c r="J222" t="str">
        <x:v>benchmark/results/open_source/z-image-turbo/w4/512/images/PO-05.png</x:v>
      </x:c>
    </x:row>
    <x:row r="223">
      <x:c r="A223" t="str">
        <x:v>E02</x:v>
      </x:c>
      <x:c r="B223" t="str">
        <x:v>PO-05</x:v>
      </x:c>
      <x:c r="C223" t="str">
        <x:v>Products &amp; objects</x:v>
      </x:c>
      <x:c r="D223" t="str">
        <x:v>GPT Image 2</x:v>
      </x:c>
      <x:c r="E223" t="str">
        <x:v>B</x:v>
      </x:c>
      <x:c r="F223" t="n">
        <x:v>2</x:v>
      </x:c>
      <x:c r="G223" t="n">
        <x:v>4</x:v>
      </x:c>
      <x:c r="H223" t="n">
        <x:v>46292.33324008102</x:v>
      </x:c>
      <x:c r="I223" t="str">
        <x:v>A perfume bottle with its box slightly open beside it, floating layout on a bright blue gradient background.</x:v>
      </x:c>
      <x:c r="J223" t="str">
        <x:v>benchmark/results/images/openai/4229ba19_PO-05.png</x:v>
      </x:c>
    </x:row>
    <x:row r="224">
      <x:c r="A224" t="str">
        <x:v>E02</x:v>
      </x:c>
      <x:c r="B224" t="str">
        <x:v>PO-05</x:v>
      </x:c>
      <x:c r="C224" t="str">
        <x:v>Products &amp; objects</x:v>
      </x:c>
      <x:c r="D224" t="str">
        <x:v>FLUX.2 Klein 4B</x:v>
      </x:c>
      <x:c r="E224" t="str">
        <x:v>C</x:v>
      </x:c>
      <x:c r="F224" t="n">
        <x:v>4</x:v>
      </x:c>
      <x:c r="G224" t="n">
        <x:v>2</x:v>
      </x:c>
      <x:c r="H224" t="n">
        <x:v>46292.33324008102</x:v>
      </x:c>
      <x:c r="I224" t="str">
        <x:v>A perfume bottle with its box slightly open beside it, floating layout on a bright blue gradient background.</x:v>
      </x:c>
      <x:c r="J224" t="str">
        <x:v>benchmark/results/open_source/flux2-klein/q4_k_m/512/images/2a0777a6_PO-05.png</x:v>
      </x:c>
    </x:row>
    <x:row r="225">
      <x:c r="A225" t="str">
        <x:v>E02</x:v>
      </x:c>
      <x:c r="B225" t="str">
        <x:v>PO-05</x:v>
      </x:c>
      <x:c r="C225" t="str">
        <x:v>Products &amp; objects</x:v>
      </x:c>
      <x:c r="D225" t="str">
        <x:v>FLUX 2 Pro</x:v>
      </x:c>
      <x:c r="E225" t="str">
        <x:v>D</x:v>
      </x:c>
      <x:c r="F225" t="n">
        <x:v>3</x:v>
      </x:c>
      <x:c r="G225" t="n">
        <x:v>3</x:v>
      </x:c>
      <x:c r="H225" t="n">
        <x:v>46292.33324008102</x:v>
      </x:c>
      <x:c r="I225" t="str">
        <x:v>A perfume bottle with its box slightly open beside it, floating layout on a bright blue gradient background.</x:v>
      </x:c>
      <x:c r="J225" t="str">
        <x:v>benchmark/results/images/bfl/4229ba19_PO-05.png</x:v>
      </x:c>
    </x:row>
    <x:row r="226">
      <x:c r="A226" t="str">
        <x:v>E02</x:v>
      </x:c>
      <x:c r="B226" t="str">
        <x:v>PO-05</x:v>
      </x:c>
      <x:c r="C226" t="str">
        <x:v>Products &amp; objects</x:v>
      </x:c>
      <x:c r="D226" t="str">
        <x:v>Gemini 3.1 Flash Image</x:v>
      </x:c>
      <x:c r="E226" t="str">
        <x:v>E</x:v>
      </x:c>
      <x:c r="F226" t="n">
        <x:v>1</x:v>
      </x:c>
      <x:c r="G226" t="n">
        <x:v>5</x:v>
      </x:c>
      <x:c r="H226" t="n">
        <x:v>46292.33324008102</x:v>
      </x:c>
      <x:c r="I226" t="str">
        <x:v>A perfume bottle with its box slightly open beside it, floating layout on a bright blue gradient background.</x:v>
      </x:c>
      <x:c r="J226" t="str">
        <x:v>benchmark/results/images/google/ab9f43fe_PO-05.png</x:v>
      </x:c>
    </x:row>
    <x:row r="227">
      <x:c r="A227" t="str">
        <x:v>E02</x:v>
      </x:c>
      <x:c r="B227" t="str">
        <x:v>CC-01</x:v>
      </x:c>
      <x:c r="C227" t="str">
        <x:v>Complex compositions</x:v>
      </x:c>
      <x:c r="D227" t="str">
        <x:v>Gemini 3.1 Flash Image</x:v>
      </x:c>
      <x:c r="E227" t="str">
        <x:v>A</x:v>
      </x:c>
      <x:c r="F227" t="n">
        <x:v>3</x:v>
      </x:c>
      <x:c r="G227" t="n">
        <x:v>3</x:v>
      </x:c>
      <x:c r="H227" t="n">
        <x:v>46292.33356398148</x:v>
      </x:c>
      <x:c r="I227"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227" t="str">
        <x:v>benchmark/results/images/google/ab9f43fe_CC-01.png</x:v>
      </x:c>
    </x:row>
    <x:row r="228">
      <x:c r="A228" t="str">
        <x:v>E02</x:v>
      </x:c>
      <x:c r="B228" t="str">
        <x:v>CC-01</x:v>
      </x:c>
      <x:c r="C228" t="str">
        <x:v>Complex compositions</x:v>
      </x:c>
      <x:c r="D228" t="str">
        <x:v>FLUX.2 Klein 4B</x:v>
      </x:c>
      <x:c r="E228" t="str">
        <x:v>B</x:v>
      </x:c>
      <x:c r="F228" t="n">
        <x:v>5</x:v>
      </x:c>
      <x:c r="G228" t="n">
        <x:v>1</x:v>
      </x:c>
      <x:c r="H228" t="n">
        <x:v>46292.33356398148</x:v>
      </x:c>
      <x:c r="I228"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228" t="str">
        <x:v>benchmark/results/open_source/flux2-klein/q4_k_m/512/images/2a0777a6_CC-01.png</x:v>
      </x:c>
    </x:row>
    <x:row r="229">
      <x:c r="A229" t="str">
        <x:v>E02</x:v>
      </x:c>
      <x:c r="B229" t="str">
        <x:v>CC-01</x:v>
      </x:c>
      <x:c r="C229" t="str">
        <x:v>Complex compositions</x:v>
      </x:c>
      <x:c r="D229" t="str">
        <x:v>GPT Image 2</x:v>
      </x:c>
      <x:c r="E229" t="str">
        <x:v>C</x:v>
      </x:c>
      <x:c r="F229" t="n">
        <x:v>1</x:v>
      </x:c>
      <x:c r="G229" t="n">
        <x:v>5</x:v>
      </x:c>
      <x:c r="H229" t="n">
        <x:v>46292.33356398148</x:v>
      </x:c>
      <x:c r="I229"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229" t="str">
        <x:v>benchmark/results/images/openai/4229ba19_CC-01.png</x:v>
      </x:c>
    </x:row>
    <x:row r="230">
      <x:c r="A230" t="str">
        <x:v>E02</x:v>
      </x:c>
      <x:c r="B230" t="str">
        <x:v>CC-01</x:v>
      </x:c>
      <x:c r="C230" t="str">
        <x:v>Complex compositions</x:v>
      </x:c>
      <x:c r="D230" t="str">
        <x:v>FLUX 2 Pro</x:v>
      </x:c>
      <x:c r="E230" t="str">
        <x:v>D</x:v>
      </x:c>
      <x:c r="F230" t="n">
        <x:v>4</x:v>
      </x:c>
      <x:c r="G230" t="n">
        <x:v>2</x:v>
      </x:c>
      <x:c r="H230" t="n">
        <x:v>46292.33356398148</x:v>
      </x:c>
      <x:c r="I230"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230" t="str">
        <x:v>benchmark/results/images/bfl/4229ba19_CC-01.png</x:v>
      </x:c>
    </x:row>
    <x:row r="231">
      <x:c r="A231" t="str">
        <x:v>E02</x:v>
      </x:c>
      <x:c r="B231" t="str">
        <x:v>CC-01</x:v>
      </x:c>
      <x:c r="C231" t="str">
        <x:v>Complex compositions</x:v>
      </x:c>
      <x:c r="D231" t="str">
        <x:v>Z-Image Turbo</x:v>
      </x:c>
      <x:c r="E231" t="str">
        <x:v>E</x:v>
      </x:c>
      <x:c r="F231" t="n">
        <x:v>2</x:v>
      </x:c>
      <x:c r="G231" t="n">
        <x:v>4</x:v>
      </x:c>
      <x:c r="H231" t="n">
        <x:v>46292.33356398148</x:v>
      </x:c>
      <x:c r="I231"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231" t="str">
        <x:v>benchmark/results/open_source/z-image-turbo/w4/512/images/CC-01.png</x:v>
      </x:c>
    </x:row>
    <x:row r="232">
      <x:c r="A232" t="str">
        <x:v>E02</x:v>
      </x:c>
      <x:c r="B232" t="str">
        <x:v>CC-02</x:v>
      </x:c>
      <x:c r="C232" t="str">
        <x:v>Complex compositions</x:v>
      </x:c>
      <x:c r="D232" t="str">
        <x:v>Z-Image Turbo</x:v>
      </x:c>
      <x:c r="E232" t="str">
        <x:v>A</x:v>
      </x:c>
      <x:c r="F232" t="n">
        <x:v>5</x:v>
      </x:c>
      <x:c r="G232" t="n">
        <x:v>1</x:v>
      </x:c>
      <x:c r="H232" t="n">
        <x:v>46292.33411001157</x:v>
      </x:c>
      <x:c r="I232"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232" t="str">
        <x:v>benchmark/results/open_source/z-image-turbo/w4/512/images/CC-02.png</x:v>
      </x:c>
    </x:row>
    <x:row r="233">
      <x:c r="A233" t="str">
        <x:v>E02</x:v>
      </x:c>
      <x:c r="B233" t="str">
        <x:v>CC-02</x:v>
      </x:c>
      <x:c r="C233" t="str">
        <x:v>Complex compositions</x:v>
      </x:c>
      <x:c r="D233" t="str">
        <x:v>FLUX.2 Klein 4B</x:v>
      </x:c>
      <x:c r="E233" t="str">
        <x:v>B</x:v>
      </x:c>
      <x:c r="F233" t="n">
        <x:v>4</x:v>
      </x:c>
      <x:c r="G233" t="n">
        <x:v>2</x:v>
      </x:c>
      <x:c r="H233" t="n">
        <x:v>46292.33411001157</x:v>
      </x:c>
      <x:c r="I233"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233" t="str">
        <x:v>benchmark/results/open_source/flux2-klein/q4_k_m/512/images/2a0777a6_CC-02.png</x:v>
      </x:c>
    </x:row>
    <x:row r="234">
      <x:c r="A234" t="str">
        <x:v>E02</x:v>
      </x:c>
      <x:c r="B234" t="str">
        <x:v>CC-02</x:v>
      </x:c>
      <x:c r="C234" t="str">
        <x:v>Complex compositions</x:v>
      </x:c>
      <x:c r="D234" t="str">
        <x:v>GPT Image 2</x:v>
      </x:c>
      <x:c r="E234" t="str">
        <x:v>C</x:v>
      </x:c>
      <x:c r="F234" t="n">
        <x:v>1</x:v>
      </x:c>
      <x:c r="G234" t="n">
        <x:v>5</x:v>
      </x:c>
      <x:c r="H234" t="n">
        <x:v>46292.33411001157</x:v>
      </x:c>
      <x:c r="I234"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234" t="str">
        <x:v>benchmark/results/images/openai/4229ba19_CC-02.png</x:v>
      </x:c>
    </x:row>
    <x:row r="235">
      <x:c r="A235" t="str">
        <x:v>E02</x:v>
      </x:c>
      <x:c r="B235" t="str">
        <x:v>CC-02</x:v>
      </x:c>
      <x:c r="C235" t="str">
        <x:v>Complex compositions</x:v>
      </x:c>
      <x:c r="D235" t="str">
        <x:v>FLUX 2 Pro</x:v>
      </x:c>
      <x:c r="E235" t="str">
        <x:v>D</x:v>
      </x:c>
      <x:c r="F235" t="n">
        <x:v>3</x:v>
      </x:c>
      <x:c r="G235" t="n">
        <x:v>3</x:v>
      </x:c>
      <x:c r="H235" t="n">
        <x:v>46292.33411001157</x:v>
      </x:c>
      <x:c r="I235"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235" t="str">
        <x:v>benchmark/results/images/bfl/4229ba19_CC-02.png</x:v>
      </x:c>
    </x:row>
    <x:row r="236">
      <x:c r="A236" t="str">
        <x:v>E02</x:v>
      </x:c>
      <x:c r="B236" t="str">
        <x:v>CC-02</x:v>
      </x:c>
      <x:c r="C236" t="str">
        <x:v>Complex compositions</x:v>
      </x:c>
      <x:c r="D236" t="str">
        <x:v>Gemini 3.1 Flash Image</x:v>
      </x:c>
      <x:c r="E236" t="str">
        <x:v>E</x:v>
      </x:c>
      <x:c r="F236" t="n">
        <x:v>2</x:v>
      </x:c>
      <x:c r="G236" t="n">
        <x:v>4</x:v>
      </x:c>
      <x:c r="H236" t="n">
        <x:v>46292.33411001157</x:v>
      </x:c>
      <x:c r="I236"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236" t="str">
        <x:v>benchmark/results/images/google/ab9f43fe_CC-02.png</x:v>
      </x:c>
    </x:row>
    <x:row r="237">
      <x:c r="A237" t="str">
        <x:v>E02</x:v>
      </x:c>
      <x:c r="B237" t="str">
        <x:v>CC-03</x:v>
      </x:c>
      <x:c r="C237" t="str">
        <x:v>Complex compositions</x:v>
      </x:c>
      <x:c r="D237" t="str">
        <x:v>Gemini 3.1 Flash Image</x:v>
      </x:c>
      <x:c r="E237" t="str">
        <x:v>A</x:v>
      </x:c>
      <x:c r="F237" t="n">
        <x:v>1</x:v>
      </x:c>
      <x:c r="G237" t="n">
        <x:v>5</x:v>
      </x:c>
      <x:c r="H237" t="n">
        <x:v>46292.33451042824</x:v>
      </x:c>
      <x:c r="I237"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237" t="str">
        <x:v>benchmark/results/images/google/ab9f43fe_CC-03.png</x:v>
      </x:c>
    </x:row>
    <x:row r="238">
      <x:c r="A238" t="str">
        <x:v>E02</x:v>
      </x:c>
      <x:c r="B238" t="str">
        <x:v>CC-03</x:v>
      </x:c>
      <x:c r="C238" t="str">
        <x:v>Complex compositions</x:v>
      </x:c>
      <x:c r="D238" t="str">
        <x:v>FLUX 2 Pro</x:v>
      </x:c>
      <x:c r="E238" t="str">
        <x:v>B</x:v>
      </x:c>
      <x:c r="F238" t="n">
        <x:v>2</x:v>
      </x:c>
      <x:c r="G238" t="n">
        <x:v>4</x:v>
      </x:c>
      <x:c r="H238" t="n">
        <x:v>46292.33451042824</x:v>
      </x:c>
      <x:c r="I238"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238" t="str">
        <x:v>benchmark/results/images/bfl/4229ba19_CC-03.png</x:v>
      </x:c>
    </x:row>
    <x:row r="239">
      <x:c r="A239" t="str">
        <x:v>E02</x:v>
      </x:c>
      <x:c r="B239" t="str">
        <x:v>CC-03</x:v>
      </x:c>
      <x:c r="C239" t="str">
        <x:v>Complex compositions</x:v>
      </x:c>
      <x:c r="D239" t="str">
        <x:v>GPT Image 2</x:v>
      </x:c>
      <x:c r="E239" t="str">
        <x:v>C</x:v>
      </x:c>
      <x:c r="F239" t="n">
        <x:v>3</x:v>
      </x:c>
      <x:c r="G239" t="n">
        <x:v>3</x:v>
      </x:c>
      <x:c r="H239" t="n">
        <x:v>46292.33451042824</x:v>
      </x:c>
      <x:c r="I239"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239" t="str">
        <x:v>benchmark/results/images/openai/4229ba19_CC-03.png</x:v>
      </x:c>
    </x:row>
    <x:row r="240">
      <x:c r="A240" t="str">
        <x:v>E02</x:v>
      </x:c>
      <x:c r="B240" t="str">
        <x:v>CC-03</x:v>
      </x:c>
      <x:c r="C240" t="str">
        <x:v>Complex compositions</x:v>
      </x:c>
      <x:c r="D240" t="str">
        <x:v>Z-Image Turbo</x:v>
      </x:c>
      <x:c r="E240" t="str">
        <x:v>D</x:v>
      </x:c>
      <x:c r="F240" t="n">
        <x:v>4</x:v>
      </x:c>
      <x:c r="G240" t="n">
        <x:v>2</x:v>
      </x:c>
      <x:c r="H240" t="n">
        <x:v>46292.33451042824</x:v>
      </x:c>
      <x:c r="I240"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240" t="str">
        <x:v>benchmark/results/open_source/z-image-turbo/w4/512/images/CC-03.png</x:v>
      </x:c>
    </x:row>
    <x:row r="241">
      <x:c r="A241" t="str">
        <x:v>E02</x:v>
      </x:c>
      <x:c r="B241" t="str">
        <x:v>CC-03</x:v>
      </x:c>
      <x:c r="C241" t="str">
        <x:v>Complex compositions</x:v>
      </x:c>
      <x:c r="D241" t="str">
        <x:v>FLUX.2 Klein 4B</x:v>
      </x:c>
      <x:c r="E241" t="str">
        <x:v>E</x:v>
      </x:c>
      <x:c r="F241" t="n">
        <x:v>5</x:v>
      </x:c>
      <x:c r="G241" t="n">
        <x:v>1</x:v>
      </x:c>
      <x:c r="H241" t="n">
        <x:v>46292.33451042824</x:v>
      </x:c>
      <x:c r="I241"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241" t="str">
        <x:v>benchmark/results/open_source/flux2-klein/q4_k_m/512/images/2a0777a6_CC-03.png</x:v>
      </x:c>
    </x:row>
    <x:row r="242">
      <x:c r="A242" t="str">
        <x:v>E02</x:v>
      </x:c>
      <x:c r="B242" t="str">
        <x:v>CC-04</x:v>
      </x:c>
      <x:c r="C242" t="str">
        <x:v>Complex compositions</x:v>
      </x:c>
      <x:c r="D242" t="str">
        <x:v>FLUX.2 Klein 4B</x:v>
      </x:c>
      <x:c r="E242" t="str">
        <x:v>A</x:v>
      </x:c>
      <x:c r="F242" t="n">
        <x:v>4</x:v>
      </x:c>
      <x:c r="G242" t="n">
        <x:v>2</x:v>
      </x:c>
      <x:c r="H242" t="n">
        <x:v>46292.33518155092</x:v>
      </x:c>
      <x:c r="I242"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242" t="str">
        <x:v>benchmark/results/open_source/flux2-klein/q4_k_m/512/images/2a0777a6_CC-04.png</x:v>
      </x:c>
    </x:row>
    <x:row r="243">
      <x:c r="A243" t="str">
        <x:v>E02</x:v>
      </x:c>
      <x:c r="B243" t="str">
        <x:v>CC-04</x:v>
      </x:c>
      <x:c r="C243" t="str">
        <x:v>Complex compositions</x:v>
      </x:c>
      <x:c r="D243" t="str">
        <x:v>Gemini 3.1 Flash Image</x:v>
      </x:c>
      <x:c r="E243" t="str">
        <x:v>B</x:v>
      </x:c>
      <x:c r="F243" t="n">
        <x:v>3</x:v>
      </x:c>
      <x:c r="G243" t="n">
        <x:v>3</x:v>
      </x:c>
      <x:c r="H243" t="n">
        <x:v>46292.33518155092</x:v>
      </x:c>
      <x:c r="I243"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243" t="str">
        <x:v>benchmark/results/images/google/ab9f43fe_CC-04.png</x:v>
      </x:c>
    </x:row>
    <x:row r="244">
      <x:c r="A244" t="str">
        <x:v>E02</x:v>
      </x:c>
      <x:c r="B244" t="str">
        <x:v>CC-04</x:v>
      </x:c>
      <x:c r="C244" t="str">
        <x:v>Complex compositions</x:v>
      </x:c>
      <x:c r="D244" t="str">
        <x:v>FLUX 2 Pro</x:v>
      </x:c>
      <x:c r="E244" t="str">
        <x:v>C</x:v>
      </x:c>
      <x:c r="F244" t="n">
        <x:v>1</x:v>
      </x:c>
      <x:c r="G244" t="n">
        <x:v>5</x:v>
      </x:c>
      <x:c r="H244" t="n">
        <x:v>46292.33518155092</x:v>
      </x:c>
      <x:c r="I244"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244" t="str">
        <x:v>benchmark/results/images/bfl/4229ba19_CC-04.png</x:v>
      </x:c>
    </x:row>
    <x:row r="245">
      <x:c r="A245" t="str">
        <x:v>E02</x:v>
      </x:c>
      <x:c r="B245" t="str">
        <x:v>CC-04</x:v>
      </x:c>
      <x:c r="C245" t="str">
        <x:v>Complex compositions</x:v>
      </x:c>
      <x:c r="D245" t="str">
        <x:v>Z-Image Turbo</x:v>
      </x:c>
      <x:c r="E245" t="str">
        <x:v>D</x:v>
      </x:c>
      <x:c r="F245" t="n">
        <x:v>5</x:v>
      </x:c>
      <x:c r="G245" t="n">
        <x:v>1</x:v>
      </x:c>
      <x:c r="H245" t="n">
        <x:v>46292.33518155092</x:v>
      </x:c>
      <x:c r="I245"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245" t="str">
        <x:v>benchmark/results/open_source/z-image-turbo/w4/512/images/CC-04.png</x:v>
      </x:c>
    </x:row>
    <x:row r="246">
      <x:c r="A246" t="str">
        <x:v>E02</x:v>
      </x:c>
      <x:c r="B246" t="str">
        <x:v>CC-04</x:v>
      </x:c>
      <x:c r="C246" t="str">
        <x:v>Complex compositions</x:v>
      </x:c>
      <x:c r="D246" t="str">
        <x:v>GPT Image 2</x:v>
      </x:c>
      <x:c r="E246" t="str">
        <x:v>E</x:v>
      </x:c>
      <x:c r="F246" t="n">
        <x:v>2</x:v>
      </x:c>
      <x:c r="G246" t="n">
        <x:v>4</x:v>
      </x:c>
      <x:c r="H246" t="n">
        <x:v>46292.33518155092</x:v>
      </x:c>
      <x:c r="I246"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246" t="str">
        <x:v>benchmark/results/images/openai/4229ba19_CC-04.png</x:v>
      </x:c>
    </x:row>
    <x:row r="247">
      <x:c r="A247" t="str">
        <x:v>E02</x:v>
      </x:c>
      <x:c r="B247" t="str">
        <x:v>CC-05</x:v>
      </x:c>
      <x:c r="C247" t="str">
        <x:v>Complex compositions</x:v>
      </x:c>
      <x:c r="D247" t="str">
        <x:v>FLUX.2 Klein 4B</x:v>
      </x:c>
      <x:c r="E247" t="str">
        <x:v>A</x:v>
      </x:c>
      <x:c r="F247" t="n">
        <x:v>5</x:v>
      </x:c>
      <x:c r="G247" t="n">
        <x:v>1</x:v>
      </x:c>
      <x:c r="H247" t="n">
        <x:v>46292.33569247685</x:v>
      </x:c>
      <x:c r="I247"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247" t="str">
        <x:v>benchmark/results/open_source/flux2-klein/q4_k_m/512/images/2a0777a6_CC-05.png</x:v>
      </x:c>
    </x:row>
    <x:row r="248">
      <x:c r="A248" t="str">
        <x:v>E02</x:v>
      </x:c>
      <x:c r="B248" t="str">
        <x:v>CC-05</x:v>
      </x:c>
      <x:c r="C248" t="str">
        <x:v>Complex compositions</x:v>
      </x:c>
      <x:c r="D248" t="str">
        <x:v>GPT Image 2</x:v>
      </x:c>
      <x:c r="E248" t="str">
        <x:v>B</x:v>
      </x:c>
      <x:c r="F248" t="n">
        <x:v>1</x:v>
      </x:c>
      <x:c r="G248" t="n">
        <x:v>5</x:v>
      </x:c>
      <x:c r="H248" t="n">
        <x:v>46292.33569247685</x:v>
      </x:c>
      <x:c r="I248"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248" t="str">
        <x:v>benchmark/results/images/openai/4229ba19_CC-05.png</x:v>
      </x:c>
    </x:row>
    <x:row r="249">
      <x:c r="A249" t="str">
        <x:v>E02</x:v>
      </x:c>
      <x:c r="B249" t="str">
        <x:v>CC-05</x:v>
      </x:c>
      <x:c r="C249" t="str">
        <x:v>Complex compositions</x:v>
      </x:c>
      <x:c r="D249" t="str">
        <x:v>Gemini 3.1 Flash Image</x:v>
      </x:c>
      <x:c r="E249" t="str">
        <x:v>C</x:v>
      </x:c>
      <x:c r="F249" t="n">
        <x:v>3</x:v>
      </x:c>
      <x:c r="G249" t="n">
        <x:v>3</x:v>
      </x:c>
      <x:c r="H249" t="n">
        <x:v>46292.33569247685</x:v>
      </x:c>
      <x:c r="I249"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249" t="str">
        <x:v>benchmark/results/images/google/ab9f43fe_CC-05.png</x:v>
      </x:c>
    </x:row>
    <x:row r="250">
      <x:c r="A250" t="str">
        <x:v>E02</x:v>
      </x:c>
      <x:c r="B250" t="str">
        <x:v>CC-05</x:v>
      </x:c>
      <x:c r="C250" t="str">
        <x:v>Complex compositions</x:v>
      </x:c>
      <x:c r="D250" t="str">
        <x:v>Z-Image Turbo</x:v>
      </x:c>
      <x:c r="E250" t="str">
        <x:v>D</x:v>
      </x:c>
      <x:c r="F250" t="n">
        <x:v>2</x:v>
      </x:c>
      <x:c r="G250" t="n">
        <x:v>4</x:v>
      </x:c>
      <x:c r="H250" t="n">
        <x:v>46292.33569247685</x:v>
      </x:c>
      <x:c r="I250"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250" t="str">
        <x:v>benchmark/results/open_source/z-image-turbo/w4/512/images/CC-05.png</x:v>
      </x:c>
    </x:row>
    <x:row r="251">
      <x:c r="A251" t="str">
        <x:v>E02</x:v>
      </x:c>
      <x:c r="B251" t="str">
        <x:v>CC-05</x:v>
      </x:c>
      <x:c r="C251" t="str">
        <x:v>Complex compositions</x:v>
      </x:c>
      <x:c r="D251" t="str">
        <x:v>FLUX 2 Pro</x:v>
      </x:c>
      <x:c r="E251" t="str">
        <x:v>E</x:v>
      </x:c>
      <x:c r="F251" t="n">
        <x:v>4</x:v>
      </x:c>
      <x:c r="G251" t="n">
        <x:v>2</x:v>
      </x:c>
      <x:c r="H251" t="n">
        <x:v>46292.33569247685</x:v>
      </x:c>
      <x:c r="I251"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251" t="str">
        <x:v>benchmark/results/images/bfl/4229ba19_CC-05.png</x:v>
      </x:c>
    </x:row>
    <x:row r="252">
      <x:c r="A252" t="str">
        <x:v>PL-01</x:v>
      </x:c>
      <x:c r="B252" t="str">
        <x:v>PL-01</x:v>
      </x:c>
      <x:c r="C252" t="str">
        <x:v>People &amp; lifestyle</x:v>
      </x:c>
      <x:c r="D252" t="str">
        <x:v>Z-Image Turbo</x:v>
      </x:c>
      <x:c r="E252" t="str">
        <x:v>A</x:v>
      </x:c>
      <x:c r="F252" t="n">
        <x:v>1</x:v>
      </x:c>
      <x:c r="G252" t="n">
        <x:v>5</x:v>
      </x:c>
      <x:c r="H252" t="n">
        <x:v>46292.370042511575</x:v>
      </x:c>
      <x:c r="I252"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252" t="str">
        <x:v>benchmark/results/open_source/z-image-turbo/w4/512/images/PL-01.png</x:v>
      </x:c>
    </x:row>
    <x:row r="253">
      <x:c r="A253" t="str">
        <x:v>PL-01</x:v>
      </x:c>
      <x:c r="B253" t="str">
        <x:v>PL-01</x:v>
      </x:c>
      <x:c r="C253" t="str">
        <x:v>People &amp; lifestyle</x:v>
      </x:c>
      <x:c r="D253" t="str">
        <x:v>FLUX.2 Klein 4B</x:v>
      </x:c>
      <x:c r="E253" t="str">
        <x:v>B</x:v>
      </x:c>
      <x:c r="F253" t="n">
        <x:v>2</x:v>
      </x:c>
      <x:c r="G253" t="n">
        <x:v>4</x:v>
      </x:c>
      <x:c r="H253" t="n">
        <x:v>46292.370042511575</x:v>
      </x:c>
      <x:c r="I253"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253" t="str">
        <x:v>benchmark/results/open_source/flux2-klein/q4_k_m/512/images/2a0777a6_PL-01.png</x:v>
      </x:c>
    </x:row>
    <x:row r="254">
      <x:c r="A254" t="str">
        <x:v>PL-01</x:v>
      </x:c>
      <x:c r="B254" t="str">
        <x:v>PL-01</x:v>
      </x:c>
      <x:c r="C254" t="str">
        <x:v>People &amp; lifestyle</x:v>
      </x:c>
      <x:c r="D254" t="str">
        <x:v>GPT Image 2</x:v>
      </x:c>
      <x:c r="E254" t="str">
        <x:v>C</x:v>
      </x:c>
      <x:c r="F254" t="n">
        <x:v>3</x:v>
      </x:c>
      <x:c r="G254" t="n">
        <x:v>3</x:v>
      </x:c>
      <x:c r="H254" t="n">
        <x:v>46292.370042511575</x:v>
      </x:c>
      <x:c r="I254"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254" t="str">
        <x:v>benchmark/results/images/openai/4229ba19_PL-01.png</x:v>
      </x:c>
    </x:row>
    <x:row r="255">
      <x:c r="A255" t="str">
        <x:v>PL-01</x:v>
      </x:c>
      <x:c r="B255" t="str">
        <x:v>PL-01</x:v>
      </x:c>
      <x:c r="C255" t="str">
        <x:v>People &amp; lifestyle</x:v>
      </x:c>
      <x:c r="D255" t="str">
        <x:v>Gemini 3.1 Flash Image</x:v>
      </x:c>
      <x:c r="E255" t="str">
        <x:v>D</x:v>
      </x:c>
      <x:c r="F255" t="n">
        <x:v>4</x:v>
      </x:c>
      <x:c r="G255" t="n">
        <x:v>2</x:v>
      </x:c>
      <x:c r="H255" t="n">
        <x:v>46292.370042511575</x:v>
      </x:c>
      <x:c r="I255"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255" t="str">
        <x:v>benchmark/results/images/google/ab9f43fe_PL-01.png</x:v>
      </x:c>
    </x:row>
    <x:row r="256">
      <x:c r="A256" t="str">
        <x:v>PL-01</x:v>
      </x:c>
      <x:c r="B256" t="str">
        <x:v>PL-01</x:v>
      </x:c>
      <x:c r="C256" t="str">
        <x:v>People &amp; lifestyle</x:v>
      </x:c>
      <x:c r="D256" t="str">
        <x:v>FLUX 2 Pro</x:v>
      </x:c>
      <x:c r="E256" t="str">
        <x:v>E</x:v>
      </x:c>
      <x:c r="F256" t="n">
        <x:v>5</x:v>
      </x:c>
      <x:c r="G256" t="n">
        <x:v>1</x:v>
      </x:c>
      <x:c r="H256" t="n">
        <x:v>46292.370042511575</x:v>
      </x:c>
      <x:c r="I256" t="str">
        <x:v>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x:v>
      </x:c>
      <x:c r="J256" t="str">
        <x:v>benchmark/results/images/bfl/4229ba19_PL-01.png</x:v>
      </x:c>
    </x:row>
    <x:row r="257">
      <x:c r="A257" t="str">
        <x:v>PL-01</x:v>
      </x:c>
      <x:c r="B257" t="str">
        <x:v>PL-02</x:v>
      </x:c>
      <x:c r="C257" t="str">
        <x:v>People &amp; lifestyle</x:v>
      </x:c>
      <x:c r="D257" t="str">
        <x:v>Gemini 3.1 Flash Image</x:v>
      </x:c>
      <x:c r="E257" t="str">
        <x:v>A</x:v>
      </x:c>
      <x:c r="F257" t="n">
        <x:v>5</x:v>
      </x:c>
      <x:c r="G257" t="n">
        <x:v>1</x:v>
      </x:c>
      <x:c r="H257" t="n">
        <x:v>46292.37090307871</x:v>
      </x:c>
      <x:c r="I257"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257" t="str">
        <x:v>benchmark/results/images/google/ab9f43fe_PL-02.png</x:v>
      </x:c>
    </x:row>
    <x:row r="258">
      <x:c r="A258" t="str">
        <x:v>PL-01</x:v>
      </x:c>
      <x:c r="B258" t="str">
        <x:v>PL-02</x:v>
      </x:c>
      <x:c r="C258" t="str">
        <x:v>People &amp; lifestyle</x:v>
      </x:c>
      <x:c r="D258" t="str">
        <x:v>FLUX 2 Pro</x:v>
      </x:c>
      <x:c r="E258" t="str">
        <x:v>B</x:v>
      </x:c>
      <x:c r="F258" t="n">
        <x:v>4</x:v>
      </x:c>
      <x:c r="G258" t="n">
        <x:v>2</x:v>
      </x:c>
      <x:c r="H258" t="n">
        <x:v>46292.37090307871</x:v>
      </x:c>
      <x:c r="I258"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258" t="str">
        <x:v>benchmark/results/images/bfl/4229ba19_PL-02.png</x:v>
      </x:c>
    </x:row>
    <x:row r="259">
      <x:c r="A259" t="str">
        <x:v>PL-01</x:v>
      </x:c>
      <x:c r="B259" t="str">
        <x:v>PL-02</x:v>
      </x:c>
      <x:c r="C259" t="str">
        <x:v>People &amp; lifestyle</x:v>
      </x:c>
      <x:c r="D259" t="str">
        <x:v>Z-Image Turbo</x:v>
      </x:c>
      <x:c r="E259" t="str">
        <x:v>C</x:v>
      </x:c>
      <x:c r="F259" t="n">
        <x:v>2</x:v>
      </x:c>
      <x:c r="G259" t="n">
        <x:v>4</x:v>
      </x:c>
      <x:c r="H259" t="n">
        <x:v>46292.37090307871</x:v>
      </x:c>
      <x:c r="I259"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259" t="str">
        <x:v>benchmark/results/open_source/z-image-turbo/w4/512/images/PL-02.png</x:v>
      </x:c>
    </x:row>
    <x:row r="260">
      <x:c r="A260" t="str">
        <x:v>PL-01</x:v>
      </x:c>
      <x:c r="B260" t="str">
        <x:v>PL-02</x:v>
      </x:c>
      <x:c r="C260" t="str">
        <x:v>People &amp; lifestyle</x:v>
      </x:c>
      <x:c r="D260" t="str">
        <x:v>GPT Image 2</x:v>
      </x:c>
      <x:c r="E260" t="str">
        <x:v>D</x:v>
      </x:c>
      <x:c r="F260" t="n">
        <x:v>1</x:v>
      </x:c>
      <x:c r="G260" t="n">
        <x:v>5</x:v>
      </x:c>
      <x:c r="H260" t="n">
        <x:v>46292.37090307871</x:v>
      </x:c>
      <x:c r="I260"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260" t="str">
        <x:v>benchmark/results/images/openai/4229ba19_PL-02.png</x:v>
      </x:c>
    </x:row>
    <x:row r="261">
      <x:c r="A261" t="str">
        <x:v>PL-01</x:v>
      </x:c>
      <x:c r="B261" t="str">
        <x:v>PL-02</x:v>
      </x:c>
      <x:c r="C261" t="str">
        <x:v>People &amp; lifestyle</x:v>
      </x:c>
      <x:c r="D261" t="str">
        <x:v>FLUX.2 Klein 4B</x:v>
      </x:c>
      <x:c r="E261" t="str">
        <x:v>E</x:v>
      </x:c>
      <x:c r="F261" t="n">
        <x:v>3</x:v>
      </x:c>
      <x:c r="G261" t="n">
        <x:v>3</x:v>
      </x:c>
      <x:c r="H261" t="n">
        <x:v>46292.37090307871</x:v>
      </x:c>
      <x:c r="I261" t="str">
        <x:v>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x:v>
      </x:c>
      <x:c r="J261" t="str">
        <x:v>benchmark/results/open_source/flux2-klein/q4_k_m/512/images/2a0777a6_PL-02.png</x:v>
      </x:c>
    </x:row>
    <x:row r="262">
      <x:c r="A262" t="str">
        <x:v>PL-01</x:v>
      </x:c>
      <x:c r="B262" t="str">
        <x:v>PL-03</x:v>
      </x:c>
      <x:c r="C262" t="str">
        <x:v>People &amp; lifestyle</x:v>
      </x:c>
      <x:c r="D262" t="str">
        <x:v>Z-Image Turbo</x:v>
      </x:c>
      <x:c r="E262" t="str">
        <x:v>A</x:v>
      </x:c>
      <x:c r="F262" t="n">
        <x:v>3</x:v>
      </x:c>
      <x:c r="G262" t="n">
        <x:v>3</x:v>
      </x:c>
      <x:c r="H262" t="n">
        <x:v>46292.37110238426</x:v>
      </x:c>
      <x:c r="I262"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262" t="str">
        <x:v>benchmark/results/open_source/z-image-turbo/w4/512/images/PL-03.png</x:v>
      </x:c>
    </x:row>
    <x:row r="263">
      <x:c r="A263" t="str">
        <x:v>PL-01</x:v>
      </x:c>
      <x:c r="B263" t="str">
        <x:v>PL-03</x:v>
      </x:c>
      <x:c r="C263" t="str">
        <x:v>People &amp; lifestyle</x:v>
      </x:c>
      <x:c r="D263" t="str">
        <x:v>Gemini 3.1 Flash Image</x:v>
      </x:c>
      <x:c r="E263" t="str">
        <x:v>B</x:v>
      </x:c>
      <x:c r="F263" t="n">
        <x:v>5</x:v>
      </x:c>
      <x:c r="G263" t="n">
        <x:v>1</x:v>
      </x:c>
      <x:c r="H263" t="n">
        <x:v>46292.37110238426</x:v>
      </x:c>
      <x:c r="I263"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263" t="str">
        <x:v>benchmark/results/images/google/ab9f43fe_PL-03.png</x:v>
      </x:c>
    </x:row>
    <x:row r="264">
      <x:c r="A264" t="str">
        <x:v>PL-01</x:v>
      </x:c>
      <x:c r="B264" t="str">
        <x:v>PL-03</x:v>
      </x:c>
      <x:c r="C264" t="str">
        <x:v>People &amp; lifestyle</x:v>
      </x:c>
      <x:c r="D264" t="str">
        <x:v>FLUX 2 Pro</x:v>
      </x:c>
      <x:c r="E264" t="str">
        <x:v>C</x:v>
      </x:c>
      <x:c r="F264" t="n">
        <x:v>4</x:v>
      </x:c>
      <x:c r="G264" t="n">
        <x:v>2</x:v>
      </x:c>
      <x:c r="H264" t="n">
        <x:v>46292.37110238426</x:v>
      </x:c>
      <x:c r="I264"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264" t="str">
        <x:v>benchmark/results/images/bfl/4229ba19_PL-03.png</x:v>
      </x:c>
    </x:row>
    <x:row r="265">
      <x:c r="A265" t="str">
        <x:v>PL-01</x:v>
      </x:c>
      <x:c r="B265" t="str">
        <x:v>PL-03</x:v>
      </x:c>
      <x:c r="C265" t="str">
        <x:v>People &amp; lifestyle</x:v>
      </x:c>
      <x:c r="D265" t="str">
        <x:v>FLUX.2 Klein 4B</x:v>
      </x:c>
      <x:c r="E265" t="str">
        <x:v>D</x:v>
      </x:c>
      <x:c r="F265" t="n">
        <x:v>1</x:v>
      </x:c>
      <x:c r="G265" t="n">
        <x:v>5</x:v>
      </x:c>
      <x:c r="H265" t="n">
        <x:v>46292.37110238426</x:v>
      </x:c>
      <x:c r="I265"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265" t="str">
        <x:v>benchmark/results/open_source/flux2-klein/q4_k_m/512/images/2a0777a6_PL-03.png</x:v>
      </x:c>
    </x:row>
    <x:row r="266">
      <x:c r="A266" t="str">
        <x:v>PL-01</x:v>
      </x:c>
      <x:c r="B266" t="str">
        <x:v>PL-03</x:v>
      </x:c>
      <x:c r="C266" t="str">
        <x:v>People &amp; lifestyle</x:v>
      </x:c>
      <x:c r="D266" t="str">
        <x:v>GPT Image 2</x:v>
      </x:c>
      <x:c r="E266" t="str">
        <x:v>E</x:v>
      </x:c>
      <x:c r="F266" t="n">
        <x:v>2</x:v>
      </x:c>
      <x:c r="G266" t="n">
        <x:v>4</x:v>
      </x:c>
      <x:c r="H266" t="n">
        <x:v>46292.37110238426</x:v>
      </x:c>
      <x:c r="I266" t="str">
        <x:v>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x:v>
      </x:c>
      <x:c r="J266" t="str">
        <x:v>benchmark/results/images/openai/4229ba19_PL-03.png</x:v>
      </x:c>
    </x:row>
    <x:row r="267">
      <x:c r="A267" t="str">
        <x:v>PL-01</x:v>
      </x:c>
      <x:c r="B267" t="str">
        <x:v>PL-04</x:v>
      </x:c>
      <x:c r="C267" t="str">
        <x:v>People &amp; lifestyle</x:v>
      </x:c>
      <x:c r="D267" t="str">
        <x:v>Z-Image Turbo</x:v>
      </x:c>
      <x:c r="E267" t="str">
        <x:v>A</x:v>
      </x:c>
      <x:c r="F267" t="n">
        <x:v>4</x:v>
      </x:c>
      <x:c r="G267" t="n">
        <x:v>2</x:v>
      </x:c>
      <x:c r="H267" t="n">
        <x:v>46292.371329664355</x:v>
      </x:c>
      <x:c r="I267"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267" t="str">
        <x:v>benchmark/results/open_source/z-image-turbo/w4/512/images/PL-04.png</x:v>
      </x:c>
    </x:row>
    <x:row r="268">
      <x:c r="A268" t="str">
        <x:v>PL-01</x:v>
      </x:c>
      <x:c r="B268" t="str">
        <x:v>PL-04</x:v>
      </x:c>
      <x:c r="C268" t="str">
        <x:v>People &amp; lifestyle</x:v>
      </x:c>
      <x:c r="D268" t="str">
        <x:v>Gemini 3.1 Flash Image</x:v>
      </x:c>
      <x:c r="E268" t="str">
        <x:v>B</x:v>
      </x:c>
      <x:c r="F268" t="n">
        <x:v>3</x:v>
      </x:c>
      <x:c r="G268" t="n">
        <x:v>3</x:v>
      </x:c>
      <x:c r="H268" t="n">
        <x:v>46292.371329664355</x:v>
      </x:c>
      <x:c r="I268"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268" t="str">
        <x:v>benchmark/results/images/google/ab9f43fe_PL-04.png</x:v>
      </x:c>
    </x:row>
    <x:row r="269">
      <x:c r="A269" t="str">
        <x:v>PL-01</x:v>
      </x:c>
      <x:c r="B269" t="str">
        <x:v>PL-04</x:v>
      </x:c>
      <x:c r="C269" t="str">
        <x:v>People &amp; lifestyle</x:v>
      </x:c>
      <x:c r="D269" t="str">
        <x:v>FLUX 2 Pro</x:v>
      </x:c>
      <x:c r="E269" t="str">
        <x:v>C</x:v>
      </x:c>
      <x:c r="F269" t="n">
        <x:v>1</x:v>
      </x:c>
      <x:c r="G269" t="n">
        <x:v>5</x:v>
      </x:c>
      <x:c r="H269" t="n">
        <x:v>46292.371329664355</x:v>
      </x:c>
      <x:c r="I269"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269" t="str">
        <x:v>benchmark/results/images/bfl/4229ba19_PL-04.png</x:v>
      </x:c>
    </x:row>
    <x:row r="270">
      <x:c r="A270" t="str">
        <x:v>PL-01</x:v>
      </x:c>
      <x:c r="B270" t="str">
        <x:v>PL-04</x:v>
      </x:c>
      <x:c r="C270" t="str">
        <x:v>People &amp; lifestyle</x:v>
      </x:c>
      <x:c r="D270" t="str">
        <x:v>GPT Image 2</x:v>
      </x:c>
      <x:c r="E270" t="str">
        <x:v>D</x:v>
      </x:c>
      <x:c r="F270" t="n">
        <x:v>5</x:v>
      </x:c>
      <x:c r="G270" t="n">
        <x:v>1</x:v>
      </x:c>
      <x:c r="H270" t="n">
        <x:v>46292.371329664355</x:v>
      </x:c>
      <x:c r="I270"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270" t="str">
        <x:v>benchmark/results/images/openai/4229ba19_PL-04.png</x:v>
      </x:c>
    </x:row>
    <x:row r="271">
      <x:c r="A271" t="str">
        <x:v>PL-01</x:v>
      </x:c>
      <x:c r="B271" t="str">
        <x:v>PL-04</x:v>
      </x:c>
      <x:c r="C271" t="str">
        <x:v>People &amp; lifestyle</x:v>
      </x:c>
      <x:c r="D271" t="str">
        <x:v>FLUX.2 Klein 4B</x:v>
      </x:c>
      <x:c r="E271" t="str">
        <x:v>E</x:v>
      </x:c>
      <x:c r="F271" t="n">
        <x:v>2</x:v>
      </x:c>
      <x:c r="G271" t="n">
        <x:v>4</x:v>
      </x:c>
      <x:c r="H271" t="n">
        <x:v>46292.371329664355</x:v>
      </x:c>
      <x:c r="I271" t="str">
        <x:v>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x:v>
      </x:c>
      <x:c r="J271" t="str">
        <x:v>benchmark/results/open_source/flux2-klein/q4_k_m/512/images/2a0777a6_PL-04.png</x:v>
      </x:c>
    </x:row>
    <x:row r="272">
      <x:c r="A272" t="str">
        <x:v>PL-01</x:v>
      </x:c>
      <x:c r="B272" t="str">
        <x:v>PL-05</x:v>
      </x:c>
      <x:c r="C272" t="str">
        <x:v>People &amp; lifestyle</x:v>
      </x:c>
      <x:c r="D272" t="str">
        <x:v>FLUX.2 Klein 4B</x:v>
      </x:c>
      <x:c r="E272" t="str">
        <x:v>A</x:v>
      </x:c>
      <x:c r="F272" t="n">
        <x:v>1</x:v>
      </x:c>
      <x:c r="G272" t="n">
        <x:v>5</x:v>
      </x:c>
      <x:c r="H272" t="n">
        <x:v>46292.37153755787</x:v>
      </x:c>
      <x:c r="I272"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72" t="str">
        <x:v>benchmark/results/open_source/flux2-klein/q4_k_m/512/images/2a0777a6_PL-05.png</x:v>
      </x:c>
    </x:row>
    <x:row r="273">
      <x:c r="A273" t="str">
        <x:v>PL-01</x:v>
      </x:c>
      <x:c r="B273" t="str">
        <x:v>PL-05</x:v>
      </x:c>
      <x:c r="C273" t="str">
        <x:v>People &amp; lifestyle</x:v>
      </x:c>
      <x:c r="D273" t="str">
        <x:v>Z-Image Turbo</x:v>
      </x:c>
      <x:c r="E273" t="str">
        <x:v>B</x:v>
      </x:c>
      <x:c r="F273" t="n">
        <x:v>3</x:v>
      </x:c>
      <x:c r="G273" t="n">
        <x:v>3</x:v>
      </x:c>
      <x:c r="H273" t="n">
        <x:v>46292.37153755787</x:v>
      </x:c>
      <x:c r="I273"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73" t="str">
        <x:v>benchmark/results/open_source/z-image-turbo/w4/512/images/PL-05.png</x:v>
      </x:c>
    </x:row>
    <x:row r="274">
      <x:c r="A274" t="str">
        <x:v>PL-01</x:v>
      </x:c>
      <x:c r="B274" t="str">
        <x:v>PL-05</x:v>
      </x:c>
      <x:c r="C274" t="str">
        <x:v>People &amp; lifestyle</x:v>
      </x:c>
      <x:c r="D274" t="str">
        <x:v>GPT Image 2</x:v>
      </x:c>
      <x:c r="E274" t="str">
        <x:v>C</x:v>
      </x:c>
      <x:c r="F274" t="n">
        <x:v>4</x:v>
      </x:c>
      <x:c r="G274" t="n">
        <x:v>2</x:v>
      </x:c>
      <x:c r="H274" t="n">
        <x:v>46292.37153755787</x:v>
      </x:c>
      <x:c r="I274"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74" t="str">
        <x:v>benchmark/results/images/openai/4229ba19_PL-05.png</x:v>
      </x:c>
    </x:row>
    <x:row r="275">
      <x:c r="A275" t="str">
        <x:v>PL-01</x:v>
      </x:c>
      <x:c r="B275" t="str">
        <x:v>PL-05</x:v>
      </x:c>
      <x:c r="C275" t="str">
        <x:v>People &amp; lifestyle</x:v>
      </x:c>
      <x:c r="D275" t="str">
        <x:v>Gemini 3.1 Flash Image</x:v>
      </x:c>
      <x:c r="E275" t="str">
        <x:v>D</x:v>
      </x:c>
      <x:c r="F275" t="n">
        <x:v>2</x:v>
      </x:c>
      <x:c r="G275" t="n">
        <x:v>4</x:v>
      </x:c>
      <x:c r="H275" t="n">
        <x:v>46292.37153755787</x:v>
      </x:c>
      <x:c r="I275"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75" t="str">
        <x:v>benchmark/results/images/google/ab9f43fe_PL-05.png</x:v>
      </x:c>
    </x:row>
    <x:row r="276">
      <x:c r="A276" t="str">
        <x:v>PL-01</x:v>
      </x:c>
      <x:c r="B276" t="str">
        <x:v>PL-05</x:v>
      </x:c>
      <x:c r="C276" t="str">
        <x:v>People &amp; lifestyle</x:v>
      </x:c>
      <x:c r="D276" t="str">
        <x:v>FLUX 2 Pro</x:v>
      </x:c>
      <x:c r="E276" t="str">
        <x:v>E</x:v>
      </x:c>
      <x:c r="F276" t="n">
        <x:v>5</x:v>
      </x:c>
      <x:c r="G276" t="n">
        <x:v>1</x:v>
      </x:c>
      <x:c r="H276" t="n">
        <x:v>46292.37153755787</x:v>
      </x:c>
      <x:c r="I276" t="str">
        <x:v>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x:v>
      </x:c>
      <x:c r="J276" t="str">
        <x:v>benchmark/results/images/bfl/4229ba19_PL-05.png</x:v>
      </x:c>
    </x:row>
    <x:row r="277">
      <x:c r="A277" t="str">
        <x:v>PL-01</x:v>
      </x:c>
      <x:c r="B277" t="str">
        <x:v>TT-01</x:v>
      </x:c>
      <x:c r="C277" t="str">
        <x:v>Text &amp; typography</x:v>
      </x:c>
      <x:c r="D277" t="str">
        <x:v>FLUX 2 Pro</x:v>
      </x:c>
      <x:c r="E277" t="str">
        <x:v>A</x:v>
      </x:c>
      <x:c r="F277" t="n">
        <x:v>3</x:v>
      </x:c>
      <x:c r="G277" t="n">
        <x:v>3</x:v>
      </x:c>
      <x:c r="H277" t="n">
        <x:v>46292.37172986111</x:v>
      </x:c>
      <x:c r="I277"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277" t="str">
        <x:v>benchmark/results/images/bfl/4229ba19_TT-01.png</x:v>
      </x:c>
    </x:row>
    <x:row r="278">
      <x:c r="A278" t="str">
        <x:v>PL-01</x:v>
      </x:c>
      <x:c r="B278" t="str">
        <x:v>TT-01</x:v>
      </x:c>
      <x:c r="C278" t="str">
        <x:v>Text &amp; typography</x:v>
      </x:c>
      <x:c r="D278" t="str">
        <x:v>Z-Image Turbo</x:v>
      </x:c>
      <x:c r="E278" t="str">
        <x:v>B</x:v>
      </x:c>
      <x:c r="F278" t="n">
        <x:v>2</x:v>
      </x:c>
      <x:c r="G278" t="n">
        <x:v>4</x:v>
      </x:c>
      <x:c r="H278" t="n">
        <x:v>46292.37172986111</x:v>
      </x:c>
      <x:c r="I278"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278" t="str">
        <x:v>benchmark/results/open_source/z-image-turbo/w4/512/images/TT-01.png</x:v>
      </x:c>
    </x:row>
    <x:row r="279">
      <x:c r="A279" t="str">
        <x:v>PL-01</x:v>
      </x:c>
      <x:c r="B279" t="str">
        <x:v>TT-01</x:v>
      </x:c>
      <x:c r="C279" t="str">
        <x:v>Text &amp; typography</x:v>
      </x:c>
      <x:c r="D279" t="str">
        <x:v>FLUX.2 Klein 4B</x:v>
      </x:c>
      <x:c r="E279" t="str">
        <x:v>C</x:v>
      </x:c>
      <x:c r="F279" t="n">
        <x:v>1</x:v>
      </x:c>
      <x:c r="G279" t="n">
        <x:v>5</x:v>
      </x:c>
      <x:c r="H279" t="n">
        <x:v>46292.37172986111</x:v>
      </x:c>
      <x:c r="I279"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279" t="str">
        <x:v>benchmark/results/open_source/flux2-klein/q4_k_m/512/images/2a0777a6_TT-01.png</x:v>
      </x:c>
    </x:row>
    <x:row r="280">
      <x:c r="A280" t="str">
        <x:v>PL-01</x:v>
      </x:c>
      <x:c r="B280" t="str">
        <x:v>TT-01</x:v>
      </x:c>
      <x:c r="C280" t="str">
        <x:v>Text &amp; typography</x:v>
      </x:c>
      <x:c r="D280" t="str">
        <x:v>GPT Image 2</x:v>
      </x:c>
      <x:c r="E280" t="str">
        <x:v>D</x:v>
      </x:c>
      <x:c r="F280" t="n">
        <x:v>5</x:v>
      </x:c>
      <x:c r="G280" t="n">
        <x:v>1</x:v>
      </x:c>
      <x:c r="H280" t="n">
        <x:v>46292.37172986111</x:v>
      </x:c>
      <x:c r="I280"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280" t="str">
        <x:v>benchmark/results/images/openai/4229ba19_TT-01.png</x:v>
      </x:c>
    </x:row>
    <x:row r="281">
      <x:c r="A281" t="str">
        <x:v>PL-01</x:v>
      </x:c>
      <x:c r="B281" t="str">
        <x:v>TT-01</x:v>
      </x:c>
      <x:c r="C281" t="str">
        <x:v>Text &amp; typography</x:v>
      </x:c>
      <x:c r="D281" t="str">
        <x:v>Gemini 3.1 Flash Image</x:v>
      </x:c>
      <x:c r="E281" t="str">
        <x:v>E</x:v>
      </x:c>
      <x:c r="F281" t="n">
        <x:v>4</x:v>
      </x:c>
      <x:c r="G281" t="n">
        <x:v>2</x:v>
      </x:c>
      <x:c r="H281" t="n">
        <x:v>46292.37172986111</x:v>
      </x:c>
      <x:c r="I281" t="str">
        <x:v>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x:v>
      </x:c>
      <x:c r="J281" t="str">
        <x:v>benchmark/results/images/google/ab9f43fe_TT-01.png</x:v>
      </x:c>
    </x:row>
    <x:row r="282">
      <x:c r="A282" t="str">
        <x:v>PL-01</x:v>
      </x:c>
      <x:c r="B282" t="str">
        <x:v>TT-02</x:v>
      </x:c>
      <x:c r="C282" t="str">
        <x:v>Text &amp; typography</x:v>
      </x:c>
      <x:c r="D282" t="str">
        <x:v>FLUX.2 Klein 4B</x:v>
      </x:c>
      <x:c r="E282" t="str">
        <x:v>A</x:v>
      </x:c>
      <x:c r="F282" t="n">
        <x:v>5</x:v>
      </x:c>
      <x:c r="G282" t="n">
        <x:v>1</x:v>
      </x:c>
      <x:c r="H282" t="n">
        <x:v>46292.37219451389</x:v>
      </x:c>
      <x:c r="I282"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282" t="str">
        <x:v>benchmark/results/open_source/flux2-klein/q4_k_m/512/images/2a0777a6_TT-02.png</x:v>
      </x:c>
    </x:row>
    <x:row r="283">
      <x:c r="A283" t="str">
        <x:v>PL-01</x:v>
      </x:c>
      <x:c r="B283" t="str">
        <x:v>TT-02</x:v>
      </x:c>
      <x:c r="C283" t="str">
        <x:v>Text &amp; typography</x:v>
      </x:c>
      <x:c r="D283" t="str">
        <x:v>Z-Image Turbo</x:v>
      </x:c>
      <x:c r="E283" t="str">
        <x:v>B</x:v>
      </x:c>
      <x:c r="F283" t="n">
        <x:v>3</x:v>
      </x:c>
      <x:c r="G283" t="n">
        <x:v>3</x:v>
      </x:c>
      <x:c r="H283" t="n">
        <x:v>46292.37219451389</x:v>
      </x:c>
      <x:c r="I283"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283" t="str">
        <x:v>benchmark/results/open_source/z-image-turbo/w4/512/images/TT-02.png</x:v>
      </x:c>
    </x:row>
    <x:row r="284">
      <x:c r="A284" t="str">
        <x:v>PL-01</x:v>
      </x:c>
      <x:c r="B284" t="str">
        <x:v>TT-02</x:v>
      </x:c>
      <x:c r="C284" t="str">
        <x:v>Text &amp; typography</x:v>
      </x:c>
      <x:c r="D284" t="str">
        <x:v>GPT Image 2</x:v>
      </x:c>
      <x:c r="E284" t="str">
        <x:v>C</x:v>
      </x:c>
      <x:c r="F284" t="n">
        <x:v>2</x:v>
      </x:c>
      <x:c r="G284" t="n">
        <x:v>4</x:v>
      </x:c>
      <x:c r="H284" t="n">
        <x:v>46292.37219451389</x:v>
      </x:c>
      <x:c r="I284"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284" t="str">
        <x:v>benchmark/results/images/openai/4229ba19_TT-02.png</x:v>
      </x:c>
    </x:row>
    <x:row r="285">
      <x:c r="A285" t="str">
        <x:v>PL-01</x:v>
      </x:c>
      <x:c r="B285" t="str">
        <x:v>TT-02</x:v>
      </x:c>
      <x:c r="C285" t="str">
        <x:v>Text &amp; typography</x:v>
      </x:c>
      <x:c r="D285" t="str">
        <x:v>FLUX 2 Pro</x:v>
      </x:c>
      <x:c r="E285" t="str">
        <x:v>D</x:v>
      </x:c>
      <x:c r="F285" t="n">
        <x:v>4</x:v>
      </x:c>
      <x:c r="G285" t="n">
        <x:v>2</x:v>
      </x:c>
      <x:c r="H285" t="n">
        <x:v>46292.37219451389</x:v>
      </x:c>
      <x:c r="I285"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285" t="str">
        <x:v>benchmark/results/images/bfl/4229ba19_TT-02.png</x:v>
      </x:c>
    </x:row>
    <x:row r="286">
      <x:c r="A286" t="str">
        <x:v>PL-01</x:v>
      </x:c>
      <x:c r="B286" t="str">
        <x:v>TT-02</x:v>
      </x:c>
      <x:c r="C286" t="str">
        <x:v>Text &amp; typography</x:v>
      </x:c>
      <x:c r="D286" t="str">
        <x:v>Gemini 3.1 Flash Image</x:v>
      </x:c>
      <x:c r="E286" t="str">
        <x:v>E</x:v>
      </x:c>
      <x:c r="F286" t="n">
        <x:v>1</x:v>
      </x:c>
      <x:c r="G286" t="n">
        <x:v>5</x:v>
      </x:c>
      <x:c r="H286" t="n">
        <x:v>46292.37219451389</x:v>
      </x:c>
      <x:c r="I286" t="str">
        <x:v>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x:v>
      </x:c>
      <x:c r="J286" t="str">
        <x:v>benchmark/results/images/google/ab9f43fe_TT-02.png</x:v>
      </x:c>
    </x:row>
    <x:row r="287">
      <x:c r="A287" t="str">
        <x:v>PL-01</x:v>
      </x:c>
      <x:c r="B287" t="str">
        <x:v>TT-03</x:v>
      </x:c>
      <x:c r="C287" t="str">
        <x:v>Text &amp; typography</x:v>
      </x:c>
      <x:c r="D287" t="str">
        <x:v>Gemini 3.1 Flash Image</x:v>
      </x:c>
      <x:c r="E287" t="str">
        <x:v>A</x:v>
      </x:c>
      <x:c r="F287" t="n">
        <x:v>2</x:v>
      </x:c>
      <x:c r="G287" t="n">
        <x:v>4</x:v>
      </x:c>
      <x:c r="H287" t="n">
        <x:v>46292.3724315625</x:v>
      </x:c>
      <x:c r="I287"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287" t="str">
        <x:v>benchmark/results/images/google/ab9f43fe_TT-03.png</x:v>
      </x:c>
    </x:row>
    <x:row r="288">
      <x:c r="A288" t="str">
        <x:v>PL-01</x:v>
      </x:c>
      <x:c r="B288" t="str">
        <x:v>TT-03</x:v>
      </x:c>
      <x:c r="C288" t="str">
        <x:v>Text &amp; typography</x:v>
      </x:c>
      <x:c r="D288" t="str">
        <x:v>Z-Image Turbo</x:v>
      </x:c>
      <x:c r="E288" t="str">
        <x:v>B</x:v>
      </x:c>
      <x:c r="F288" t="n">
        <x:v>3</x:v>
      </x:c>
      <x:c r="G288" t="n">
        <x:v>3</x:v>
      </x:c>
      <x:c r="H288" t="n">
        <x:v>46292.3724315625</x:v>
      </x:c>
      <x:c r="I288"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288" t="str">
        <x:v>benchmark/results/open_source/z-image-turbo/w4/512/images/TT-03.png</x:v>
      </x:c>
    </x:row>
    <x:row r="289">
      <x:c r="A289" t="str">
        <x:v>PL-01</x:v>
      </x:c>
      <x:c r="B289" t="str">
        <x:v>TT-03</x:v>
      </x:c>
      <x:c r="C289" t="str">
        <x:v>Text &amp; typography</x:v>
      </x:c>
      <x:c r="D289" t="str">
        <x:v>GPT Image 2</x:v>
      </x:c>
      <x:c r="E289" t="str">
        <x:v>C</x:v>
      </x:c>
      <x:c r="F289" t="n">
        <x:v>5</x:v>
      </x:c>
      <x:c r="G289" t="n">
        <x:v>1</x:v>
      </x:c>
      <x:c r="H289" t="n">
        <x:v>46292.3724315625</x:v>
      </x:c>
      <x:c r="I289"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289" t="str">
        <x:v>benchmark/results/images/openai/4229ba19_TT-03.png</x:v>
      </x:c>
    </x:row>
    <x:row r="290">
      <x:c r="A290" t="str">
        <x:v>PL-01</x:v>
      </x:c>
      <x:c r="B290" t="str">
        <x:v>TT-03</x:v>
      </x:c>
      <x:c r="C290" t="str">
        <x:v>Text &amp; typography</x:v>
      </x:c>
      <x:c r="D290" t="str">
        <x:v>FLUX.2 Klein 4B</x:v>
      </x:c>
      <x:c r="E290" t="str">
        <x:v>D</x:v>
      </x:c>
      <x:c r="F290" t="n">
        <x:v>1</x:v>
      </x:c>
      <x:c r="G290" t="n">
        <x:v>5</x:v>
      </x:c>
      <x:c r="H290" t="n">
        <x:v>46292.3724315625</x:v>
      </x:c>
      <x:c r="I290"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290" t="str">
        <x:v>benchmark/results/open_source/flux2-klein/q4_k_m/512/images/2a0777a6_TT-03.png</x:v>
      </x:c>
    </x:row>
    <x:row r="291">
      <x:c r="A291" t="str">
        <x:v>PL-01</x:v>
      </x:c>
      <x:c r="B291" t="str">
        <x:v>TT-03</x:v>
      </x:c>
      <x:c r="C291" t="str">
        <x:v>Text &amp; typography</x:v>
      </x:c>
      <x:c r="D291" t="str">
        <x:v>FLUX 2 Pro</x:v>
      </x:c>
      <x:c r="E291" t="str">
        <x:v>E</x:v>
      </x:c>
      <x:c r="F291" t="n">
        <x:v>4</x:v>
      </x:c>
      <x:c r="G291" t="n">
        <x:v>2</x:v>
      </x:c>
      <x:c r="H291" t="n">
        <x:v>46292.3724315625</x:v>
      </x:c>
      <x:c r="I291" t="str">
        <x:v>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x:v>
      </x:c>
      <x:c r="J291" t="str">
        <x:v>benchmark/results/images/bfl/4229ba19_TT-03.png</x:v>
      </x:c>
    </x:row>
    <x:row r="292">
      <x:c r="A292" t="str">
        <x:v>PL-01</x:v>
      </x:c>
      <x:c r="B292" t="str">
        <x:v>TT-04</x:v>
      </x:c>
      <x:c r="C292" t="str">
        <x:v>Text &amp; typography</x:v>
      </x:c>
      <x:c r="D292" t="str">
        <x:v>GPT Image 2</x:v>
      </x:c>
      <x:c r="E292" t="str">
        <x:v>A</x:v>
      </x:c>
      <x:c r="F292" t="n">
        <x:v>5</x:v>
      </x:c>
      <x:c r="G292" t="n">
        <x:v>1</x:v>
      </x:c>
      <x:c r="H292" t="n">
        <x:v>46292.372584363424</x:v>
      </x:c>
      <x:c r="I292"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292" t="str">
        <x:v>benchmark/results/images/openai/4229ba19_TT-04.png</x:v>
      </x:c>
    </x:row>
    <x:row r="293">
      <x:c r="A293" t="str">
        <x:v>PL-01</x:v>
      </x:c>
      <x:c r="B293" t="str">
        <x:v>TT-04</x:v>
      </x:c>
      <x:c r="C293" t="str">
        <x:v>Text &amp; typography</x:v>
      </x:c>
      <x:c r="D293" t="str">
        <x:v>FLUX 2 Pro</x:v>
      </x:c>
      <x:c r="E293" t="str">
        <x:v>B</x:v>
      </x:c>
      <x:c r="F293" t="n">
        <x:v>1</x:v>
      </x:c>
      <x:c r="G293" t="n">
        <x:v>5</x:v>
      </x:c>
      <x:c r="H293" t="n">
        <x:v>46292.372584363424</x:v>
      </x:c>
      <x:c r="I293"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293" t="str">
        <x:v>benchmark/results/images/bfl/4229ba19_TT-04.png</x:v>
      </x:c>
    </x:row>
    <x:row r="294">
      <x:c r="A294" t="str">
        <x:v>PL-01</x:v>
      </x:c>
      <x:c r="B294" t="str">
        <x:v>TT-04</x:v>
      </x:c>
      <x:c r="C294" t="str">
        <x:v>Text &amp; typography</x:v>
      </x:c>
      <x:c r="D294" t="str">
        <x:v>Z-Image Turbo</x:v>
      </x:c>
      <x:c r="E294" t="str">
        <x:v>C</x:v>
      </x:c>
      <x:c r="F294" t="n">
        <x:v>2</x:v>
      </x:c>
      <x:c r="G294" t="n">
        <x:v>4</x:v>
      </x:c>
      <x:c r="H294" t="n">
        <x:v>46292.372584363424</x:v>
      </x:c>
      <x:c r="I294"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294" t="str">
        <x:v>benchmark/results/open_source/z-image-turbo/w4/512/images/TT-04.png</x:v>
      </x:c>
    </x:row>
    <x:row r="295">
      <x:c r="A295" t="str">
        <x:v>PL-01</x:v>
      </x:c>
      <x:c r="B295" t="str">
        <x:v>TT-04</x:v>
      </x:c>
      <x:c r="C295" t="str">
        <x:v>Text &amp; typography</x:v>
      </x:c>
      <x:c r="D295" t="str">
        <x:v>FLUX.2 Klein 4B</x:v>
      </x:c>
      <x:c r="E295" t="str">
        <x:v>D</x:v>
      </x:c>
      <x:c r="F295" t="n">
        <x:v>4</x:v>
      </x:c>
      <x:c r="G295" t="n">
        <x:v>2</x:v>
      </x:c>
      <x:c r="H295" t="n">
        <x:v>46292.372584363424</x:v>
      </x:c>
      <x:c r="I295"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295" t="str">
        <x:v>benchmark/results/open_source/flux2-klein/q4_k_m/512/images/2a0777a6_TT-04.png</x:v>
      </x:c>
    </x:row>
    <x:row r="296">
      <x:c r="A296" t="str">
        <x:v>PL-01</x:v>
      </x:c>
      <x:c r="B296" t="str">
        <x:v>TT-04</x:v>
      </x:c>
      <x:c r="C296" t="str">
        <x:v>Text &amp; typography</x:v>
      </x:c>
      <x:c r="D296" t="str">
        <x:v>Gemini 3.1 Flash Image</x:v>
      </x:c>
      <x:c r="E296" t="str">
        <x:v>E</x:v>
      </x:c>
      <x:c r="F296" t="n">
        <x:v>3</x:v>
      </x:c>
      <x:c r="G296" t="n">
        <x:v>3</x:v>
      </x:c>
      <x:c r="H296" t="n">
        <x:v>46292.372584363424</x:v>
      </x:c>
      <x:c r="I296" t="str">
        <x:v>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x:v>
      </x:c>
      <x:c r="J296" t="str">
        <x:v>benchmark/results/images/google/ab9f43fe_TT-04.png</x:v>
      </x:c>
    </x:row>
    <x:row r="297">
      <x:c r="A297" t="str">
        <x:v>PL-01</x:v>
      </x:c>
      <x:c r="B297" t="str">
        <x:v>TT-05</x:v>
      </x:c>
      <x:c r="C297" t="str">
        <x:v>Text &amp; typography</x:v>
      </x:c>
      <x:c r="D297" t="str">
        <x:v>Z-Image Turbo</x:v>
      </x:c>
      <x:c r="E297" t="str">
        <x:v>A</x:v>
      </x:c>
      <x:c r="F297" t="n">
        <x:v>1</x:v>
      </x:c>
      <x:c r="G297" t="n">
        <x:v>5</x:v>
      </x:c>
      <x:c r="H297" t="n">
        <x:v>46292.37278273148</x:v>
      </x:c>
      <x:c r="I297"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297" t="str">
        <x:v>benchmark/results/open_source/z-image-turbo/w4/512/images/TT-05.png</x:v>
      </x:c>
    </x:row>
    <x:row r="298">
      <x:c r="A298" t="str">
        <x:v>PL-01</x:v>
      </x:c>
      <x:c r="B298" t="str">
        <x:v>TT-05</x:v>
      </x:c>
      <x:c r="C298" t="str">
        <x:v>Text &amp; typography</x:v>
      </x:c>
      <x:c r="D298" t="str">
        <x:v>Gemini 3.1 Flash Image</x:v>
      </x:c>
      <x:c r="E298" t="str">
        <x:v>B</x:v>
      </x:c>
      <x:c r="F298" t="n">
        <x:v>4</x:v>
      </x:c>
      <x:c r="G298" t="n">
        <x:v>2</x:v>
      </x:c>
      <x:c r="H298" t="n">
        <x:v>46292.37278273148</x:v>
      </x:c>
      <x:c r="I298"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298" t="str">
        <x:v>benchmark/results/images/google/ab9f43fe_TT-05.png</x:v>
      </x:c>
    </x:row>
    <x:row r="299">
      <x:c r="A299" t="str">
        <x:v>PL-01</x:v>
      </x:c>
      <x:c r="B299" t="str">
        <x:v>TT-05</x:v>
      </x:c>
      <x:c r="C299" t="str">
        <x:v>Text &amp; typography</x:v>
      </x:c>
      <x:c r="D299" t="str">
        <x:v>FLUX 2 Pro</x:v>
      </x:c>
      <x:c r="E299" t="str">
        <x:v>C</x:v>
      </x:c>
      <x:c r="F299" t="n">
        <x:v>5</x:v>
      </x:c>
      <x:c r="G299" t="n">
        <x:v>1</x:v>
      </x:c>
      <x:c r="H299" t="n">
        <x:v>46292.37278273148</x:v>
      </x:c>
      <x:c r="I299"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299" t="str">
        <x:v>benchmark/results/images/bfl/4229ba19_TT-05.png</x:v>
      </x:c>
    </x:row>
    <x:row r="300">
      <x:c r="A300" t="str">
        <x:v>PL-01</x:v>
      </x:c>
      <x:c r="B300" t="str">
        <x:v>TT-05</x:v>
      </x:c>
      <x:c r="C300" t="str">
        <x:v>Text &amp; typography</x:v>
      </x:c>
      <x:c r="D300" t="str">
        <x:v>FLUX.2 Klein 4B</x:v>
      </x:c>
      <x:c r="E300" t="str">
        <x:v>D</x:v>
      </x:c>
      <x:c r="F300" t="n">
        <x:v>2</x:v>
      </x:c>
      <x:c r="G300" t="n">
        <x:v>4</x:v>
      </x:c>
      <x:c r="H300" t="n">
        <x:v>46292.37278273148</x:v>
      </x:c>
      <x:c r="I300"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300" t="str">
        <x:v>benchmark/results/open_source/flux2-klein/q4_k_m/512/images/2a0777a6_TT-05.png</x:v>
      </x:c>
    </x:row>
    <x:row r="301">
      <x:c r="A301" t="str">
        <x:v>PL-01</x:v>
      </x:c>
      <x:c r="B301" t="str">
        <x:v>TT-05</x:v>
      </x:c>
      <x:c r="C301" t="str">
        <x:v>Text &amp; typography</x:v>
      </x:c>
      <x:c r="D301" t="str">
        <x:v>GPT Image 2</x:v>
      </x:c>
      <x:c r="E301" t="str">
        <x:v>E</x:v>
      </x:c>
      <x:c r="F301" t="n">
        <x:v>3</x:v>
      </x:c>
      <x:c r="G301" t="n">
        <x:v>3</x:v>
      </x:c>
      <x:c r="H301" t="n">
        <x:v>46292.37278273148</x:v>
      </x:c>
      <x:c r="I301" t="str">
        <x:v>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x:v>
      </x:c>
      <x:c r="J301" t="str">
        <x:v>benchmark/results/images/openai/4229ba19_TT-05.png</x:v>
      </x:c>
    </x:row>
    <x:row r="302">
      <x:c r="A302" t="str">
        <x:v>PL-01</x:v>
      </x:c>
      <x:c r="B302" t="str">
        <x:v>BA-01</x:v>
      </x:c>
      <x:c r="C302" t="str">
        <x:v>Branding &amp; advertising</x:v>
      </x:c>
      <x:c r="D302" t="str">
        <x:v>FLUX 2 Pro</x:v>
      </x:c>
      <x:c r="E302" t="str">
        <x:v>A</x:v>
      </x:c>
      <x:c r="F302" t="n">
        <x:v>5</x:v>
      </x:c>
      <x:c r="G302" t="n">
        <x:v>1</x:v>
      </x:c>
      <x:c r="H302" t="n">
        <x:v>46292.372948159726</x:v>
      </x:c>
      <x:c r="I302" t="str">
        <x:v>Create a product advertisement for a fictional skincare brand called "LUMI". Show a single glass serum bottle centered on a baby blue background, with soft shadows and a clean minimal look.</x:v>
      </x:c>
      <x:c r="J302" t="str">
        <x:v>benchmark/results/images/bfl/4229ba19_BA-01.png</x:v>
      </x:c>
    </x:row>
    <x:row r="303">
      <x:c r="A303" t="str">
        <x:v>PL-01</x:v>
      </x:c>
      <x:c r="B303" t="str">
        <x:v>BA-01</x:v>
      </x:c>
      <x:c r="C303" t="str">
        <x:v>Branding &amp; advertising</x:v>
      </x:c>
      <x:c r="D303" t="str">
        <x:v>Z-Image Turbo</x:v>
      </x:c>
      <x:c r="E303" t="str">
        <x:v>B</x:v>
      </x:c>
      <x:c r="F303" t="n">
        <x:v>1</x:v>
      </x:c>
      <x:c r="G303" t="n">
        <x:v>5</x:v>
      </x:c>
      <x:c r="H303" t="n">
        <x:v>46292.372948159726</x:v>
      </x:c>
      <x:c r="I303" t="str">
        <x:v>Create a product advertisement for a fictional skincare brand called "LUMI". Show a single glass serum bottle centered on a baby blue background, with soft shadows and a clean minimal look.</x:v>
      </x:c>
      <x:c r="J303" t="str">
        <x:v>benchmark/results/open_source/z-image-turbo/w4/512/images/BA-01.png</x:v>
      </x:c>
    </x:row>
    <x:row r="304">
      <x:c r="A304" t="str">
        <x:v>PL-01</x:v>
      </x:c>
      <x:c r="B304" t="str">
        <x:v>BA-01</x:v>
      </x:c>
      <x:c r="C304" t="str">
        <x:v>Branding &amp; advertising</x:v>
      </x:c>
      <x:c r="D304" t="str">
        <x:v>Gemini 3.1 Flash Image</x:v>
      </x:c>
      <x:c r="E304" t="str">
        <x:v>C</x:v>
      </x:c>
      <x:c r="F304" t="n">
        <x:v>2</x:v>
      </x:c>
      <x:c r="G304" t="n">
        <x:v>4</x:v>
      </x:c>
      <x:c r="H304" t="n">
        <x:v>46292.372948159726</x:v>
      </x:c>
      <x:c r="I304" t="str">
        <x:v>Create a product advertisement for a fictional skincare brand called "LUMI". Show a single glass serum bottle centered on a baby blue background, with soft shadows and a clean minimal look.</x:v>
      </x:c>
      <x:c r="J304" t="str">
        <x:v>benchmark/results/images/google/ab9f43fe_BA-01.png</x:v>
      </x:c>
    </x:row>
    <x:row r="305">
      <x:c r="A305" t="str">
        <x:v>PL-01</x:v>
      </x:c>
      <x:c r="B305" t="str">
        <x:v>BA-01</x:v>
      </x:c>
      <x:c r="C305" t="str">
        <x:v>Branding &amp; advertising</x:v>
      </x:c>
      <x:c r="D305" t="str">
        <x:v>GPT Image 2</x:v>
      </x:c>
      <x:c r="E305" t="str">
        <x:v>D</x:v>
      </x:c>
      <x:c r="F305" t="n">
        <x:v>4</x:v>
      </x:c>
      <x:c r="G305" t="n">
        <x:v>2</x:v>
      </x:c>
      <x:c r="H305" t="n">
        <x:v>46292.372948159726</x:v>
      </x:c>
      <x:c r="I305" t="str">
        <x:v>Create a product advertisement for a fictional skincare brand called "LUMI". Show a single glass serum bottle centered on a baby blue background, with soft shadows and a clean minimal look.</x:v>
      </x:c>
      <x:c r="J305" t="str">
        <x:v>benchmark/results/images/openai/4229ba19_BA-01.png</x:v>
      </x:c>
    </x:row>
    <x:row r="306">
      <x:c r="A306" t="str">
        <x:v>PL-01</x:v>
      </x:c>
      <x:c r="B306" t="str">
        <x:v>BA-01</x:v>
      </x:c>
      <x:c r="C306" t="str">
        <x:v>Branding &amp; advertising</x:v>
      </x:c>
      <x:c r="D306" t="str">
        <x:v>FLUX.2 Klein 4B</x:v>
      </x:c>
      <x:c r="E306" t="str">
        <x:v>E</x:v>
      </x:c>
      <x:c r="F306" t="n">
        <x:v>3</x:v>
      </x:c>
      <x:c r="G306" t="n">
        <x:v>3</x:v>
      </x:c>
      <x:c r="H306" t="n">
        <x:v>46292.372948159726</x:v>
      </x:c>
      <x:c r="I306" t="str">
        <x:v>Create a product advertisement for a fictional skincare brand called "LUMI". Show a single glass serum bottle centered on a baby blue background, with soft shadows and a clean minimal look.</x:v>
      </x:c>
      <x:c r="J306" t="str">
        <x:v>benchmark/results/open_source/flux2-klein/q4_k_m/512/images/2a0777a6_BA-01.png</x:v>
      </x:c>
    </x:row>
    <x:row r="307">
      <x:c r="A307" t="str">
        <x:v>PL-01</x:v>
      </x:c>
      <x:c r="B307" t="str">
        <x:v>BA-02</x:v>
      </x:c>
      <x:c r="C307" t="str">
        <x:v>Branding &amp; advertising</x:v>
      </x:c>
      <x:c r="D307" t="str">
        <x:v>GPT Image 2</x:v>
      </x:c>
      <x:c r="E307" t="str">
        <x:v>A</x:v>
      </x:c>
      <x:c r="F307" t="n">
        <x:v>3</x:v>
      </x:c>
      <x:c r="G307" t="n">
        <x:v>3</x:v>
      </x:c>
      <x:c r="H307" t="n">
        <x:v>46292.37310539352</x:v>
      </x:c>
      <x:c r="I307" t="str">
        <x:v>Create a social media advertisement for a fictional sportswear brand called "VORA". Show a white sneaker on a dark pedestal with orange accents, dramatic side lighting, and negative space on the left for advertising copy.</x:v>
      </x:c>
      <x:c r="J307" t="str">
        <x:v>benchmark/results/images/openai/4229ba19_BA-02.png</x:v>
      </x:c>
    </x:row>
    <x:row r="308">
      <x:c r="A308" t="str">
        <x:v>PL-01</x:v>
      </x:c>
      <x:c r="B308" t="str">
        <x:v>BA-02</x:v>
      </x:c>
      <x:c r="C308" t="str">
        <x:v>Branding &amp; advertising</x:v>
      </x:c>
      <x:c r="D308" t="str">
        <x:v>Gemini 3.1 Flash Image</x:v>
      </x:c>
      <x:c r="E308" t="str">
        <x:v>B</x:v>
      </x:c>
      <x:c r="F308" t="n">
        <x:v>5</x:v>
      </x:c>
      <x:c r="G308" t="n">
        <x:v>1</x:v>
      </x:c>
      <x:c r="H308" t="n">
        <x:v>46292.37310539352</x:v>
      </x:c>
      <x:c r="I308" t="str">
        <x:v>Create a social media advertisement for a fictional sportswear brand called "VORA". Show a white sneaker on a dark pedestal with orange accents, dramatic side lighting, and negative space on the left for advertising copy.</x:v>
      </x:c>
      <x:c r="J308" t="str">
        <x:v>benchmark/results/images/google/ab9f43fe_BA-02.png</x:v>
      </x:c>
    </x:row>
    <x:row r="309">
      <x:c r="A309" t="str">
        <x:v>PL-01</x:v>
      </x:c>
      <x:c r="B309" t="str">
        <x:v>BA-02</x:v>
      </x:c>
      <x:c r="C309" t="str">
        <x:v>Branding &amp; advertising</x:v>
      </x:c>
      <x:c r="D309" t="str">
        <x:v>FLUX.2 Klein 4B</x:v>
      </x:c>
      <x:c r="E309" t="str">
        <x:v>C</x:v>
      </x:c>
      <x:c r="F309" t="n">
        <x:v>4</x:v>
      </x:c>
      <x:c r="G309" t="n">
        <x:v>2</x:v>
      </x:c>
      <x:c r="H309" t="n">
        <x:v>46292.37310539352</x:v>
      </x:c>
      <x:c r="I309" t="str">
        <x:v>Create a social media advertisement for a fictional sportswear brand called "VORA". Show a white sneaker on a dark pedestal with orange accents, dramatic side lighting, and negative space on the left for advertising copy.</x:v>
      </x:c>
      <x:c r="J309" t="str">
        <x:v>benchmark/results/open_source/flux2-klein/q4_k_m/512/images/2a0777a6_BA-02.png</x:v>
      </x:c>
    </x:row>
    <x:row r="310">
      <x:c r="A310" t="str">
        <x:v>PL-01</x:v>
      </x:c>
      <x:c r="B310" t="str">
        <x:v>BA-02</x:v>
      </x:c>
      <x:c r="C310" t="str">
        <x:v>Branding &amp; advertising</x:v>
      </x:c>
      <x:c r="D310" t="str">
        <x:v>Z-Image Turbo</x:v>
      </x:c>
      <x:c r="E310" t="str">
        <x:v>D</x:v>
      </x:c>
      <x:c r="F310" t="n">
        <x:v>2</x:v>
      </x:c>
      <x:c r="G310" t="n">
        <x:v>4</x:v>
      </x:c>
      <x:c r="H310" t="n">
        <x:v>46292.37310539352</x:v>
      </x:c>
      <x:c r="I310" t="str">
        <x:v>Create a social media advertisement for a fictional sportswear brand called "VORA". Show a white sneaker on a dark pedestal with orange accents, dramatic side lighting, and negative space on the left for advertising copy.</x:v>
      </x:c>
      <x:c r="J310" t="str">
        <x:v>benchmark/results/open_source/z-image-turbo/w4/512/images/BA-02.png</x:v>
      </x:c>
    </x:row>
    <x:row r="311">
      <x:c r="A311" t="str">
        <x:v>PL-01</x:v>
      </x:c>
      <x:c r="B311" t="str">
        <x:v>BA-02</x:v>
      </x:c>
      <x:c r="C311" t="str">
        <x:v>Branding &amp; advertising</x:v>
      </x:c>
      <x:c r="D311" t="str">
        <x:v>FLUX 2 Pro</x:v>
      </x:c>
      <x:c r="E311" t="str">
        <x:v>E</x:v>
      </x:c>
      <x:c r="F311" t="n">
        <x:v>1</x:v>
      </x:c>
      <x:c r="G311" t="n">
        <x:v>5</x:v>
      </x:c>
      <x:c r="H311" t="n">
        <x:v>46292.37310539352</x:v>
      </x:c>
      <x:c r="I311" t="str">
        <x:v>Create a social media advertisement for a fictional sportswear brand called "VORA". Show a white sneaker on a dark pedestal with orange accents, dramatic side lighting, and negative space on the left for advertising copy.</x:v>
      </x:c>
      <x:c r="J311" t="str">
        <x:v>benchmark/results/images/bfl/4229ba19_BA-02.png</x:v>
      </x:c>
    </x:row>
    <x:row r="312">
      <x:c r="A312" t="str">
        <x:v>PL-01</x:v>
      </x:c>
      <x:c r="B312" t="str">
        <x:v>BA-03</x:v>
      </x:c>
      <x:c r="C312" t="str">
        <x:v>Branding &amp; advertising</x:v>
      </x:c>
      <x:c r="D312" t="str">
        <x:v>FLUX.2 Klein 4B</x:v>
      </x:c>
      <x:c r="E312" t="str">
        <x:v>A</x:v>
      </x:c>
      <x:c r="F312" t="n">
        <x:v>1</x:v>
      </x:c>
      <x:c r="G312" t="n">
        <x:v>5</x:v>
      </x:c>
      <x:c r="H312" t="n">
        <x:v>46292.37332096065</x:v>
      </x:c>
      <x:c r="I312" t="str">
        <x:v>Create a promotional advertisement for a fictional coffee brand called "NOVA". Show a takeaway coffee cup beside scattered coffee beans on a warm beige surface. Use soft morning lighting, a modern premium style, and include the brand name "NOVA" clearly on the cup.</x:v>
      </x:c>
      <x:c r="J312" t="str">
        <x:v>benchmark/results/open_source/flux2-klein/q4_k_m/512/images/2a0777a6_BA-03.png</x:v>
      </x:c>
    </x:row>
    <x:row r="313">
      <x:c r="A313" t="str">
        <x:v>PL-01</x:v>
      </x:c>
      <x:c r="B313" t="str">
        <x:v>BA-03</x:v>
      </x:c>
      <x:c r="C313" t="str">
        <x:v>Branding &amp; advertising</x:v>
      </x:c>
      <x:c r="D313" t="str">
        <x:v>Z-Image Turbo</x:v>
      </x:c>
      <x:c r="E313" t="str">
        <x:v>B</x:v>
      </x:c>
      <x:c r="F313" t="n">
        <x:v>2</x:v>
      </x:c>
      <x:c r="G313" t="n">
        <x:v>4</x:v>
      </x:c>
      <x:c r="H313" t="n">
        <x:v>46292.37332096065</x:v>
      </x:c>
      <x:c r="I313" t="str">
        <x:v>Create a promotional advertisement for a fictional coffee brand called "NOVA". Show a takeaway coffee cup beside scattered coffee beans on a warm beige surface. Use soft morning lighting, a modern premium style, and include the brand name "NOVA" clearly on the cup.</x:v>
      </x:c>
      <x:c r="J313" t="str">
        <x:v>benchmark/results/open_source/z-image-turbo/w4/512/images/BA-03.png</x:v>
      </x:c>
    </x:row>
    <x:row r="314">
      <x:c r="A314" t="str">
        <x:v>PL-01</x:v>
      </x:c>
      <x:c r="B314" t="str">
        <x:v>BA-03</x:v>
      </x:c>
      <x:c r="C314" t="str">
        <x:v>Branding &amp; advertising</x:v>
      </x:c>
      <x:c r="D314" t="str">
        <x:v>FLUX 2 Pro</x:v>
      </x:c>
      <x:c r="E314" t="str">
        <x:v>C</x:v>
      </x:c>
      <x:c r="F314" t="n">
        <x:v>3</x:v>
      </x:c>
      <x:c r="G314" t="n">
        <x:v>3</x:v>
      </x:c>
      <x:c r="H314" t="n">
        <x:v>46292.37332096065</x:v>
      </x:c>
      <x:c r="I314" t="str">
        <x:v>Create a promotional advertisement for a fictional coffee brand called "NOVA". Show a takeaway coffee cup beside scattered coffee beans on a warm beige surface. Use soft morning lighting, a modern premium style, and include the brand name "NOVA" clearly on the cup.</x:v>
      </x:c>
      <x:c r="J314" t="str">
        <x:v>benchmark/results/images/bfl/4229ba19_BA-03.png</x:v>
      </x:c>
    </x:row>
    <x:row r="315">
      <x:c r="A315" t="str">
        <x:v>PL-01</x:v>
      </x:c>
      <x:c r="B315" t="str">
        <x:v>BA-03</x:v>
      </x:c>
      <x:c r="C315" t="str">
        <x:v>Branding &amp; advertising</x:v>
      </x:c>
      <x:c r="D315" t="str">
        <x:v>Gemini 3.1 Flash Image</x:v>
      </x:c>
      <x:c r="E315" t="str">
        <x:v>D</x:v>
      </x:c>
      <x:c r="F315" t="n">
        <x:v>4</x:v>
      </x:c>
      <x:c r="G315" t="n">
        <x:v>2</x:v>
      </x:c>
      <x:c r="H315" t="n">
        <x:v>46292.37332096065</x:v>
      </x:c>
      <x:c r="I315" t="str">
        <x:v>Create a promotional advertisement for a fictional coffee brand called "NOVA". Show a takeaway coffee cup beside scattered coffee beans on a warm beige surface. Use soft morning lighting, a modern premium style, and include the brand name "NOVA" clearly on the cup.</x:v>
      </x:c>
      <x:c r="J315" t="str">
        <x:v>benchmark/results/images/google/ab9f43fe_BA-03.png</x:v>
      </x:c>
    </x:row>
    <x:row r="316">
      <x:c r="A316" t="str">
        <x:v>PL-01</x:v>
      </x:c>
      <x:c r="B316" t="str">
        <x:v>BA-03</x:v>
      </x:c>
      <x:c r="C316" t="str">
        <x:v>Branding &amp; advertising</x:v>
      </x:c>
      <x:c r="D316" t="str">
        <x:v>GPT Image 2</x:v>
      </x:c>
      <x:c r="E316" t="str">
        <x:v>E</x:v>
      </x:c>
      <x:c r="F316" t="n">
        <x:v>5</x:v>
      </x:c>
      <x:c r="G316" t="n">
        <x:v>1</x:v>
      </x:c>
      <x:c r="H316" t="n">
        <x:v>46292.37332096065</x:v>
      </x:c>
      <x:c r="I316" t="str">
        <x:v>Create a promotional advertisement for a fictional coffee brand called "NOVA". Show a takeaway coffee cup beside scattered coffee beans on a warm beige surface. Use soft morning lighting, a modern premium style, and include the brand name "NOVA" clearly on the cup.</x:v>
      </x:c>
      <x:c r="J316" t="str">
        <x:v>benchmark/results/images/openai/4229ba19_BA-03.png</x:v>
      </x:c>
    </x:row>
    <x:row r="317">
      <x:c r="A317" t="str">
        <x:v>PL-01</x:v>
      </x:c>
      <x:c r="B317" t="str">
        <x:v>BA-04</x:v>
      </x:c>
      <x:c r="C317" t="str">
        <x:v>Branding &amp; advertising</x:v>
      </x:c>
      <x:c r="D317" t="str">
        <x:v>FLUX 2 Pro</x:v>
      </x:c>
      <x:c r="E317" t="str">
        <x:v>A</x:v>
      </x:c>
      <x:c r="F317" t="n">
        <x:v>3</x:v>
      </x:c>
      <x:c r="G317" t="n">
        <x:v>3</x:v>
      </x:c>
      <x:c r="H317" t="n">
        <x:v>46292.37346701389</x:v>
      </x:c>
      <x:c r="I317"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317" t="str">
        <x:v>benchmark/results/images/bfl/4229ba19_BA-04.png</x:v>
      </x:c>
    </x:row>
    <x:row r="318">
      <x:c r="A318" t="str">
        <x:v>PL-01</x:v>
      </x:c>
      <x:c r="B318" t="str">
        <x:v>BA-04</x:v>
      </x:c>
      <x:c r="C318" t="str">
        <x:v>Branding &amp; advertising</x:v>
      </x:c>
      <x:c r="D318" t="str">
        <x:v>Z-Image Turbo</x:v>
      </x:c>
      <x:c r="E318" t="str">
        <x:v>B</x:v>
      </x:c>
      <x:c r="F318" t="n">
        <x:v>1</x:v>
      </x:c>
      <x:c r="G318" t="n">
        <x:v>5</x:v>
      </x:c>
      <x:c r="H318" t="n">
        <x:v>46292.37346701389</x:v>
      </x:c>
      <x:c r="I318"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318" t="str">
        <x:v>benchmark/results/open_source/z-image-turbo/w4/512/images/BA-04.png</x:v>
      </x:c>
    </x:row>
    <x:row r="319">
      <x:c r="A319" t="str">
        <x:v>PL-01</x:v>
      </x:c>
      <x:c r="B319" t="str">
        <x:v>BA-04</x:v>
      </x:c>
      <x:c r="C319" t="str">
        <x:v>Branding &amp; advertising</x:v>
      </x:c>
      <x:c r="D319" t="str">
        <x:v>Gemini 3.1 Flash Image</x:v>
      </x:c>
      <x:c r="E319" t="str">
        <x:v>C</x:v>
      </x:c>
      <x:c r="F319" t="n">
        <x:v>4</x:v>
      </x:c>
      <x:c r="G319" t="n">
        <x:v>2</x:v>
      </x:c>
      <x:c r="H319" t="n">
        <x:v>46292.37346701389</x:v>
      </x:c>
      <x:c r="I319"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319" t="str">
        <x:v>benchmark/results/images/google/ab9f43fe_BA-04.png</x:v>
      </x:c>
    </x:row>
    <x:row r="320">
      <x:c r="A320" t="str">
        <x:v>PL-01</x:v>
      </x:c>
      <x:c r="B320" t="str">
        <x:v>BA-04</x:v>
      </x:c>
      <x:c r="C320" t="str">
        <x:v>Branding &amp; advertising</x:v>
      </x:c>
      <x:c r="D320" t="str">
        <x:v>GPT Image 2</x:v>
      </x:c>
      <x:c r="E320" t="str">
        <x:v>D</x:v>
      </x:c>
      <x:c r="F320" t="n">
        <x:v>5</x:v>
      </x:c>
      <x:c r="G320" t="n">
        <x:v>1</x:v>
      </x:c>
      <x:c r="H320" t="n">
        <x:v>46292.37346701389</x:v>
      </x:c>
      <x:c r="I320"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320" t="str">
        <x:v>benchmark/results/images/openai/4229ba19_BA-04.png</x:v>
      </x:c>
    </x:row>
    <x:row r="321">
      <x:c r="A321" t="str">
        <x:v>PL-01</x:v>
      </x:c>
      <x:c r="B321" t="str">
        <x:v>BA-04</x:v>
      </x:c>
      <x:c r="C321" t="str">
        <x:v>Branding &amp; advertising</x:v>
      </x:c>
      <x:c r="D321" t="str">
        <x:v>FLUX.2 Klein 4B</x:v>
      </x:c>
      <x:c r="E321" t="str">
        <x:v>E</x:v>
      </x:c>
      <x:c r="F321" t="n">
        <x:v>2</x:v>
      </x:c>
      <x:c r="G321" t="n">
        <x:v>4</x:v>
      </x:c>
      <x:c r="H321" t="n">
        <x:v>46292.37346701389</x:v>
      </x:c>
      <x:c r="I321" t="str">
        <x:v>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x:v>
      </x:c>
      <x:c r="J321" t="str">
        <x:v>benchmark/results/open_source/flux2-klein/q4_k_m/512/images/2a0777a6_BA-04.png</x:v>
      </x:c>
    </x:row>
    <x:row r="322">
      <x:c r="A322" t="str">
        <x:v>PL-01</x:v>
      </x:c>
      <x:c r="B322" t="str">
        <x:v>BA-05</x:v>
      </x:c>
      <x:c r="C322" t="str">
        <x:v>Branding &amp; advertising</x:v>
      </x:c>
      <x:c r="D322" t="str">
        <x:v>FLUX.2 Klein 4B</x:v>
      </x:c>
      <x:c r="E322" t="str">
        <x:v>A</x:v>
      </x:c>
      <x:c r="F322" t="n">
        <x:v>3</x:v>
      </x:c>
      <x:c r="G322" t="n">
        <x:v>3</x:v>
      </x:c>
      <x:c r="H322" t="n">
        <x:v>46292.37358791666</x:v>
      </x:c>
      <x:c r="I322"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322" t="str">
        <x:v>benchmark/results/open_source/flux2-klein/q4_k_m/512/images/2a0777a6_BA-05.png</x:v>
      </x:c>
    </x:row>
    <x:row r="323">
      <x:c r="A323" t="str">
        <x:v>PL-01</x:v>
      </x:c>
      <x:c r="B323" t="str">
        <x:v>BA-05</x:v>
      </x:c>
      <x:c r="C323" t="str">
        <x:v>Branding &amp; advertising</x:v>
      </x:c>
      <x:c r="D323" t="str">
        <x:v>Z-Image Turbo</x:v>
      </x:c>
      <x:c r="E323" t="str">
        <x:v>B</x:v>
      </x:c>
      <x:c r="F323" t="n">
        <x:v>4</x:v>
      </x:c>
      <x:c r="G323" t="n">
        <x:v>2</x:v>
      </x:c>
      <x:c r="H323" t="n">
        <x:v>46292.37358791666</x:v>
      </x:c>
      <x:c r="I323"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323" t="str">
        <x:v>benchmark/results/open_source/z-image-turbo/w4/512/images/BA-05.png</x:v>
      </x:c>
    </x:row>
    <x:row r="324">
      <x:c r="A324" t="str">
        <x:v>PL-01</x:v>
      </x:c>
      <x:c r="B324" t="str">
        <x:v>BA-05</x:v>
      </x:c>
      <x:c r="C324" t="str">
        <x:v>Branding &amp; advertising</x:v>
      </x:c>
      <x:c r="D324" t="str">
        <x:v>FLUX 2 Pro</x:v>
      </x:c>
      <x:c r="E324" t="str">
        <x:v>C</x:v>
      </x:c>
      <x:c r="F324" t="n">
        <x:v>5</x:v>
      </x:c>
      <x:c r="G324" t="n">
        <x:v>1</x:v>
      </x:c>
      <x:c r="H324" t="n">
        <x:v>46292.37358791666</x:v>
      </x:c>
      <x:c r="I324"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324" t="str">
        <x:v>benchmark/results/images/bfl/4229ba19_BA-05.png</x:v>
      </x:c>
    </x:row>
    <x:row r="325">
      <x:c r="A325" t="str">
        <x:v>PL-01</x:v>
      </x:c>
      <x:c r="B325" t="str">
        <x:v>BA-05</x:v>
      </x:c>
      <x:c r="C325" t="str">
        <x:v>Branding &amp; advertising</x:v>
      </x:c>
      <x:c r="D325" t="str">
        <x:v>Gemini 3.1 Flash Image</x:v>
      </x:c>
      <x:c r="E325" t="str">
        <x:v>D</x:v>
      </x:c>
      <x:c r="F325" t="n">
        <x:v>2</x:v>
      </x:c>
      <x:c r="G325" t="n">
        <x:v>4</x:v>
      </x:c>
      <x:c r="H325" t="n">
        <x:v>46292.37358791666</x:v>
      </x:c>
      <x:c r="I325"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325" t="str">
        <x:v>benchmark/results/images/google/ab9f43fe_BA-05.png</x:v>
      </x:c>
    </x:row>
    <x:row r="326">
      <x:c r="A326" t="str">
        <x:v>PL-01</x:v>
      </x:c>
      <x:c r="B326" t="str">
        <x:v>BA-05</x:v>
      </x:c>
      <x:c r="C326" t="str">
        <x:v>Branding &amp; advertising</x:v>
      </x:c>
      <x:c r="D326" t="str">
        <x:v>GPT Image 2</x:v>
      </x:c>
      <x:c r="E326" t="str">
        <x:v>E</x:v>
      </x:c>
      <x:c r="F326" t="n">
        <x:v>1</x:v>
      </x:c>
      <x:c r="G326" t="n">
        <x:v>5</x:v>
      </x:c>
      <x:c r="H326" t="n">
        <x:v>46292.37358791666</x:v>
      </x:c>
      <x:c r="I326" t="str">
        <x:v>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x:v>
      </x:c>
      <x:c r="J326" t="str">
        <x:v>benchmark/results/images/openai/4229ba19_BA-05.png</x:v>
      </x:c>
    </x:row>
    <x:row r="327">
      <x:c r="A327" t="str">
        <x:v>PL-01</x:v>
      </x:c>
      <x:c r="B327" t="str">
        <x:v>PO-01</x:v>
      </x:c>
      <x:c r="C327" t="str">
        <x:v>Products &amp; objects</x:v>
      </x:c>
      <x:c r="D327" t="str">
        <x:v>FLUX.2 Klein 4B</x:v>
      </x:c>
      <x:c r="E327" t="str">
        <x:v>A</x:v>
      </x:c>
      <x:c r="F327" t="n">
        <x:v>3</x:v>
      </x:c>
      <x:c r="G327" t="n">
        <x:v>3</x:v>
      </x:c>
      <x:c r="H327" t="n">
        <x:v>46292.373719351854</x:v>
      </x:c>
      <x:c r="I327" t="str">
        <x:v>A luxury perfume bottle with a square glass silhouette and gold cap, photographed on a plain grey studio background with soft shadows, product photography style.</x:v>
      </x:c>
      <x:c r="J327" t="str">
        <x:v>benchmark/results/open_source/flux2-klein/q4_k_m/512/images/2a0777a6_PO-01.png</x:v>
      </x:c>
    </x:row>
    <x:row r="328">
      <x:c r="A328" t="str">
        <x:v>PL-01</x:v>
      </x:c>
      <x:c r="B328" t="str">
        <x:v>PO-01</x:v>
      </x:c>
      <x:c r="C328" t="str">
        <x:v>Products &amp; objects</x:v>
      </x:c>
      <x:c r="D328" t="str">
        <x:v>FLUX 2 Pro</x:v>
      </x:c>
      <x:c r="E328" t="str">
        <x:v>B</x:v>
      </x:c>
      <x:c r="F328" t="n">
        <x:v>2</x:v>
      </x:c>
      <x:c r="G328" t="n">
        <x:v>4</x:v>
      </x:c>
      <x:c r="H328" t="n">
        <x:v>46292.373719351854</x:v>
      </x:c>
      <x:c r="I328" t="str">
        <x:v>A luxury perfume bottle with a square glass silhouette and gold cap, photographed on a plain grey studio background with soft shadows, product photography style.</x:v>
      </x:c>
      <x:c r="J328" t="str">
        <x:v>benchmark/results/images/bfl/4229ba19_PO-01.png</x:v>
      </x:c>
    </x:row>
    <x:row r="329">
      <x:c r="A329" t="str">
        <x:v>PL-01</x:v>
      </x:c>
      <x:c r="B329" t="str">
        <x:v>PO-01</x:v>
      </x:c>
      <x:c r="C329" t="str">
        <x:v>Products &amp; objects</x:v>
      </x:c>
      <x:c r="D329" t="str">
        <x:v>GPT Image 2</x:v>
      </x:c>
      <x:c r="E329" t="str">
        <x:v>C</x:v>
      </x:c>
      <x:c r="F329" t="n">
        <x:v>5</x:v>
      </x:c>
      <x:c r="G329" t="n">
        <x:v>1</x:v>
      </x:c>
      <x:c r="H329" t="n">
        <x:v>46292.373719351854</x:v>
      </x:c>
      <x:c r="I329" t="str">
        <x:v>A luxury perfume bottle with a square glass silhouette and gold cap, photographed on a plain grey studio background with soft shadows, product photography style.</x:v>
      </x:c>
      <x:c r="J329" t="str">
        <x:v>benchmark/results/images/openai/4229ba19_PO-01.png</x:v>
      </x:c>
    </x:row>
    <x:row r="330">
      <x:c r="A330" t="str">
        <x:v>PL-01</x:v>
      </x:c>
      <x:c r="B330" t="str">
        <x:v>PO-01</x:v>
      </x:c>
      <x:c r="C330" t="str">
        <x:v>Products &amp; objects</x:v>
      </x:c>
      <x:c r="D330" t="str">
        <x:v>Gemini 3.1 Flash Image</x:v>
      </x:c>
      <x:c r="E330" t="str">
        <x:v>D</x:v>
      </x:c>
      <x:c r="F330" t="n">
        <x:v>4</x:v>
      </x:c>
      <x:c r="G330" t="n">
        <x:v>2</x:v>
      </x:c>
      <x:c r="H330" t="n">
        <x:v>46292.373719351854</x:v>
      </x:c>
      <x:c r="I330" t="str">
        <x:v>A luxury perfume bottle with a square glass silhouette and gold cap, photographed on a plain grey studio background with soft shadows, product photography style.</x:v>
      </x:c>
      <x:c r="J330" t="str">
        <x:v>benchmark/results/images/google/ab9f43fe_PO-01.png</x:v>
      </x:c>
    </x:row>
    <x:row r="331">
      <x:c r="A331" t="str">
        <x:v>PL-01</x:v>
      </x:c>
      <x:c r="B331" t="str">
        <x:v>PO-01</x:v>
      </x:c>
      <x:c r="C331" t="str">
        <x:v>Products &amp; objects</x:v>
      </x:c>
      <x:c r="D331" t="str">
        <x:v>Z-Image Turbo</x:v>
      </x:c>
      <x:c r="E331" t="str">
        <x:v>E</x:v>
      </x:c>
      <x:c r="F331" t="n">
        <x:v>1</x:v>
      </x:c>
      <x:c r="G331" t="n">
        <x:v>5</x:v>
      </x:c>
      <x:c r="H331" t="n">
        <x:v>46292.373719351854</x:v>
      </x:c>
      <x:c r="I331" t="str">
        <x:v>A luxury perfume bottle with a square glass silhouette and gold cap, photographed on a plain grey studio background with soft shadows, product photography style.</x:v>
      </x:c>
      <x:c r="J331" t="str">
        <x:v>benchmark/results/open_source/z-image-turbo/w4/512/images/PO-01.png</x:v>
      </x:c>
    </x:row>
    <x:row r="332">
      <x:c r="A332" t="str">
        <x:v>PL-01</x:v>
      </x:c>
      <x:c r="B332" t="str">
        <x:v>PO-02</x:v>
      </x:c>
      <x:c r="C332" t="str">
        <x:v>Products &amp; objects</x:v>
      </x:c>
      <x:c r="D332" t="str">
        <x:v>FLUX 2 Pro</x:v>
      </x:c>
      <x:c r="E332" t="str">
        <x:v>A</x:v>
      </x:c>
      <x:c r="F332" t="n">
        <x:v>2</x:v>
      </x:c>
      <x:c r="G332" t="n">
        <x:v>4</x:v>
      </x:c>
      <x:c r="H332" t="n">
        <x:v>46292.37389112268</x:v>
      </x:c>
      <x:c r="I332" t="str">
        <x:v>A round crystal perfume bottle with an amber-colored liquid, photographed on a marble countertop with soft natural light.</x:v>
      </x:c>
      <x:c r="J332" t="str">
        <x:v>benchmark/results/images/bfl/4229ba19_PO-02.png</x:v>
      </x:c>
    </x:row>
    <x:row r="333">
      <x:c r="A333" t="str">
        <x:v>PL-01</x:v>
      </x:c>
      <x:c r="B333" t="str">
        <x:v>PO-02</x:v>
      </x:c>
      <x:c r="C333" t="str">
        <x:v>Products &amp; objects</x:v>
      </x:c>
      <x:c r="D333" t="str">
        <x:v>FLUX.2 Klein 4B</x:v>
      </x:c>
      <x:c r="E333" t="str">
        <x:v>B</x:v>
      </x:c>
      <x:c r="F333" t="n">
        <x:v>4</x:v>
      </x:c>
      <x:c r="G333" t="n">
        <x:v>2</x:v>
      </x:c>
      <x:c r="H333" t="n">
        <x:v>46292.37389112268</x:v>
      </x:c>
      <x:c r="I333" t="str">
        <x:v>A round crystal perfume bottle with an amber-colored liquid, photographed on a marble countertop with soft natural light.</x:v>
      </x:c>
      <x:c r="J333" t="str">
        <x:v>benchmark/results/open_source/flux2-klein/q4_k_m/512/images/2a0777a6_PO-02.png</x:v>
      </x:c>
    </x:row>
    <x:row r="334">
      <x:c r="A334" t="str">
        <x:v>PL-01</x:v>
      </x:c>
      <x:c r="B334" t="str">
        <x:v>PO-02</x:v>
      </x:c>
      <x:c r="C334" t="str">
        <x:v>Products &amp; objects</x:v>
      </x:c>
      <x:c r="D334" t="str">
        <x:v>GPT Image 2</x:v>
      </x:c>
      <x:c r="E334" t="str">
        <x:v>C</x:v>
      </x:c>
      <x:c r="F334" t="n">
        <x:v>3</x:v>
      </x:c>
      <x:c r="G334" t="n">
        <x:v>3</x:v>
      </x:c>
      <x:c r="H334" t="n">
        <x:v>46292.37389112268</x:v>
      </x:c>
      <x:c r="I334" t="str">
        <x:v>A round crystal perfume bottle with an amber-colored liquid, photographed on a marble countertop with soft natural light.</x:v>
      </x:c>
      <x:c r="J334" t="str">
        <x:v>benchmark/results/images/openai/4229ba19_PO-02.png</x:v>
      </x:c>
    </x:row>
    <x:row r="335">
      <x:c r="A335" t="str">
        <x:v>PL-01</x:v>
      </x:c>
      <x:c r="B335" t="str">
        <x:v>PO-02</x:v>
      </x:c>
      <x:c r="C335" t="str">
        <x:v>Products &amp; objects</x:v>
      </x:c>
      <x:c r="D335" t="str">
        <x:v>Z-Image Turbo</x:v>
      </x:c>
      <x:c r="E335" t="str">
        <x:v>D</x:v>
      </x:c>
      <x:c r="F335" t="n">
        <x:v>1</x:v>
      </x:c>
      <x:c r="G335" t="n">
        <x:v>5</x:v>
      </x:c>
      <x:c r="H335" t="n">
        <x:v>46292.37389112268</x:v>
      </x:c>
      <x:c r="I335" t="str">
        <x:v>A round crystal perfume bottle with an amber-colored liquid, photographed on a marble countertop with soft natural light.</x:v>
      </x:c>
      <x:c r="J335" t="str">
        <x:v>benchmark/results/open_source/z-image-turbo/w4/512/images/PO-02.png</x:v>
      </x:c>
    </x:row>
    <x:row r="336">
      <x:c r="A336" t="str">
        <x:v>PL-01</x:v>
      </x:c>
      <x:c r="B336" t="str">
        <x:v>PO-02</x:v>
      </x:c>
      <x:c r="C336" t="str">
        <x:v>Products &amp; objects</x:v>
      </x:c>
      <x:c r="D336" t="str">
        <x:v>Gemini 3.1 Flash Image</x:v>
      </x:c>
      <x:c r="E336" t="str">
        <x:v>E</x:v>
      </x:c>
      <x:c r="F336" t="n">
        <x:v>5</x:v>
      </x:c>
      <x:c r="G336" t="n">
        <x:v>1</x:v>
      </x:c>
      <x:c r="H336" t="n">
        <x:v>46292.37389112268</x:v>
      </x:c>
      <x:c r="I336" t="str">
        <x:v>A round crystal perfume bottle with an amber-colored liquid, photographed on a marble countertop with soft natural light.</x:v>
      </x:c>
      <x:c r="J336" t="str">
        <x:v>benchmark/results/images/google/ab9f43fe_PO-02.png</x:v>
      </x:c>
    </x:row>
    <x:row r="337">
      <x:c r="A337" t="str">
        <x:v>PL-01</x:v>
      </x:c>
      <x:c r="B337" t="str">
        <x:v>PO-03</x:v>
      </x:c>
      <x:c r="C337" t="str">
        <x:v>Products &amp; objects</x:v>
      </x:c>
      <x:c r="D337" t="str">
        <x:v>FLUX 2 Pro</x:v>
      </x:c>
      <x:c r="E337" t="str">
        <x:v>A</x:v>
      </x:c>
      <x:c r="F337" t="n">
        <x:v>3</x:v>
      </x:c>
      <x:c r="G337" t="n">
        <x:v>3</x:v>
      </x:c>
      <x:c r="H337" t="n">
        <x:v>46292.37402484954</x:v>
      </x:c>
      <x:c r="I337" t="str">
        <x:v>A trio of perfume bottles of different sizes arranged next to a small green plant and a few scattered rose petals, soft natural lighting.</x:v>
      </x:c>
      <x:c r="J337" t="str">
        <x:v>benchmark/results/images/bfl/4229ba19_PO-03.png</x:v>
      </x:c>
    </x:row>
    <x:row r="338">
      <x:c r="A338" t="str">
        <x:v>PL-01</x:v>
      </x:c>
      <x:c r="B338" t="str">
        <x:v>PO-03</x:v>
      </x:c>
      <x:c r="C338" t="str">
        <x:v>Products &amp; objects</x:v>
      </x:c>
      <x:c r="D338" t="str">
        <x:v>Z-Image Turbo</x:v>
      </x:c>
      <x:c r="E338" t="str">
        <x:v>B</x:v>
      </x:c>
      <x:c r="F338" t="n">
        <x:v>1</x:v>
      </x:c>
      <x:c r="G338" t="n">
        <x:v>5</x:v>
      </x:c>
      <x:c r="H338" t="n">
        <x:v>46292.37402484954</x:v>
      </x:c>
      <x:c r="I338" t="str">
        <x:v>A trio of perfume bottles of different sizes arranged next to a small green plant and a few scattered rose petals, soft natural lighting.</x:v>
      </x:c>
      <x:c r="J338" t="str">
        <x:v>benchmark/results/open_source/z-image-turbo/w4/512/images/PO-03.png</x:v>
      </x:c>
    </x:row>
    <x:row r="339">
      <x:c r="A339" t="str">
        <x:v>PL-01</x:v>
      </x:c>
      <x:c r="B339" t="str">
        <x:v>PO-03</x:v>
      </x:c>
      <x:c r="C339" t="str">
        <x:v>Products &amp; objects</x:v>
      </x:c>
      <x:c r="D339" t="str">
        <x:v>Gemini 3.1 Flash Image</x:v>
      </x:c>
      <x:c r="E339" t="str">
        <x:v>C</x:v>
      </x:c>
      <x:c r="F339" t="n">
        <x:v>4</x:v>
      </x:c>
      <x:c r="G339" t="n">
        <x:v>2</x:v>
      </x:c>
      <x:c r="H339" t="n">
        <x:v>46292.37402484954</x:v>
      </x:c>
      <x:c r="I339" t="str">
        <x:v>A trio of perfume bottles of different sizes arranged next to a small green plant and a few scattered rose petals, soft natural lighting.</x:v>
      </x:c>
      <x:c r="J339" t="str">
        <x:v>benchmark/results/images/google/ab9f43fe_PO-03.png</x:v>
      </x:c>
    </x:row>
    <x:row r="340">
      <x:c r="A340" t="str">
        <x:v>PL-01</x:v>
      </x:c>
      <x:c r="B340" t="str">
        <x:v>PO-03</x:v>
      </x:c>
      <x:c r="C340" t="str">
        <x:v>Products &amp; objects</x:v>
      </x:c>
      <x:c r="D340" t="str">
        <x:v>GPT Image 2</x:v>
      </x:c>
      <x:c r="E340" t="str">
        <x:v>D</x:v>
      </x:c>
      <x:c r="F340" t="n">
        <x:v>5</x:v>
      </x:c>
      <x:c r="G340" t="n">
        <x:v>1</x:v>
      </x:c>
      <x:c r="H340" t="n">
        <x:v>46292.37402484954</x:v>
      </x:c>
      <x:c r="I340" t="str">
        <x:v>A trio of perfume bottles of different sizes arranged next to a small green plant and a few scattered rose petals, soft natural lighting.</x:v>
      </x:c>
      <x:c r="J340" t="str">
        <x:v>benchmark/results/images/openai/4229ba19_PO-03.png</x:v>
      </x:c>
    </x:row>
    <x:row r="341">
      <x:c r="A341" t="str">
        <x:v>PL-01</x:v>
      </x:c>
      <x:c r="B341" t="str">
        <x:v>PO-03</x:v>
      </x:c>
      <x:c r="C341" t="str">
        <x:v>Products &amp; objects</x:v>
      </x:c>
      <x:c r="D341" t="str">
        <x:v>FLUX.2 Klein 4B</x:v>
      </x:c>
      <x:c r="E341" t="str">
        <x:v>E</x:v>
      </x:c>
      <x:c r="F341" t="n">
        <x:v>2</x:v>
      </x:c>
      <x:c r="G341" t="n">
        <x:v>4</x:v>
      </x:c>
      <x:c r="H341" t="n">
        <x:v>46292.37402484954</x:v>
      </x:c>
      <x:c r="I341" t="str">
        <x:v>A trio of perfume bottles of different sizes arranged next to a small green plant and a few scattered rose petals, soft natural lighting.</x:v>
      </x:c>
      <x:c r="J341" t="str">
        <x:v>benchmark/results/open_source/flux2-klein/q4_k_m/512/images/2a0777a6_PO-03.png</x:v>
      </x:c>
    </x:row>
    <x:row r="342">
      <x:c r="A342" t="str">
        <x:v>PL-01</x:v>
      </x:c>
      <x:c r="B342" t="str">
        <x:v>PO-04</x:v>
      </x:c>
      <x:c r="C342" t="str">
        <x:v>Products &amp; objects</x:v>
      </x:c>
      <x:c r="D342" t="str">
        <x:v>Gemini 3.1 Flash Image</x:v>
      </x:c>
      <x:c r="E342" t="str">
        <x:v>A</x:v>
      </x:c>
      <x:c r="F342" t="n">
        <x:v>5</x:v>
      </x:c>
      <x:c r="G342" t="n">
        <x:v>1</x:v>
      </x:c>
      <x:c r="H342" t="n">
        <x:v>46292.37414541667</x:v>
      </x:c>
      <x:c r="I342" t="str">
        <x:v>A tall slender perfume bottle standing on a wooden surface, photographed from a slight low angle, warm dramatic side lighting.</x:v>
      </x:c>
      <x:c r="J342" t="str">
        <x:v>benchmark/results/images/google/ab9f43fe_PO-04.png</x:v>
      </x:c>
    </x:row>
    <x:row r="343">
      <x:c r="A343" t="str">
        <x:v>PL-01</x:v>
      </x:c>
      <x:c r="B343" t="str">
        <x:v>PO-04</x:v>
      </x:c>
      <x:c r="C343" t="str">
        <x:v>Products &amp; objects</x:v>
      </x:c>
      <x:c r="D343" t="str">
        <x:v>FLUX 2 Pro</x:v>
      </x:c>
      <x:c r="E343" t="str">
        <x:v>B</x:v>
      </x:c>
      <x:c r="F343" t="n">
        <x:v>4</x:v>
      </x:c>
      <x:c r="G343" t="n">
        <x:v>2</x:v>
      </x:c>
      <x:c r="H343" t="n">
        <x:v>46292.37414541667</x:v>
      </x:c>
      <x:c r="I343" t="str">
        <x:v>A tall slender perfume bottle standing on a wooden surface, photographed from a slight low angle, warm dramatic side lighting.</x:v>
      </x:c>
      <x:c r="J343" t="str">
        <x:v>benchmark/results/images/bfl/4229ba19_PO-04.png</x:v>
      </x:c>
    </x:row>
    <x:row r="344">
      <x:c r="A344" t="str">
        <x:v>PL-01</x:v>
      </x:c>
      <x:c r="B344" t="str">
        <x:v>PO-04</x:v>
      </x:c>
      <x:c r="C344" t="str">
        <x:v>Products &amp; objects</x:v>
      </x:c>
      <x:c r="D344" t="str">
        <x:v>GPT Image 2</x:v>
      </x:c>
      <x:c r="E344" t="str">
        <x:v>C</x:v>
      </x:c>
      <x:c r="F344" t="n">
        <x:v>1</x:v>
      </x:c>
      <x:c r="G344" t="n">
        <x:v>5</x:v>
      </x:c>
      <x:c r="H344" t="n">
        <x:v>46292.37414541667</x:v>
      </x:c>
      <x:c r="I344" t="str">
        <x:v>A tall slender perfume bottle standing on a wooden surface, photographed from a slight low angle, warm dramatic side lighting.</x:v>
      </x:c>
      <x:c r="J344" t="str">
        <x:v>benchmark/results/images/openai/4229ba19_PO-04.png</x:v>
      </x:c>
    </x:row>
    <x:row r="345">
      <x:c r="A345" t="str">
        <x:v>PL-01</x:v>
      </x:c>
      <x:c r="B345" t="str">
        <x:v>PO-04</x:v>
      </x:c>
      <x:c r="C345" t="str">
        <x:v>Products &amp; objects</x:v>
      </x:c>
      <x:c r="D345" t="str">
        <x:v>FLUX.2 Klein 4B</x:v>
      </x:c>
      <x:c r="E345" t="str">
        <x:v>D</x:v>
      </x:c>
      <x:c r="F345" t="n">
        <x:v>3</x:v>
      </x:c>
      <x:c r="G345" t="n">
        <x:v>3</x:v>
      </x:c>
      <x:c r="H345" t="n">
        <x:v>46292.37414541667</x:v>
      </x:c>
      <x:c r="I345" t="str">
        <x:v>A tall slender perfume bottle standing on a wooden surface, photographed from a slight low angle, warm dramatic side lighting.</x:v>
      </x:c>
      <x:c r="J345" t="str">
        <x:v>benchmark/results/open_source/flux2-klein/q4_k_m/512/images/2a0777a6_PO-04.png</x:v>
      </x:c>
    </x:row>
    <x:row r="346">
      <x:c r="A346" t="str">
        <x:v>PL-01</x:v>
      </x:c>
      <x:c r="B346" t="str">
        <x:v>PO-04</x:v>
      </x:c>
      <x:c r="C346" t="str">
        <x:v>Products &amp; objects</x:v>
      </x:c>
      <x:c r="D346" t="str">
        <x:v>Z-Image Turbo</x:v>
      </x:c>
      <x:c r="E346" t="str">
        <x:v>E</x:v>
      </x:c>
      <x:c r="F346" t="n">
        <x:v>2</x:v>
      </x:c>
      <x:c r="G346" t="n">
        <x:v>4</x:v>
      </x:c>
      <x:c r="H346" t="n">
        <x:v>46292.37414541667</x:v>
      </x:c>
      <x:c r="I346" t="str">
        <x:v>A tall slender perfume bottle standing on a wooden surface, photographed from a slight low angle, warm dramatic side lighting.</x:v>
      </x:c>
      <x:c r="J346" t="str">
        <x:v>benchmark/results/open_source/z-image-turbo/w4/512/images/PO-04.png</x:v>
      </x:c>
    </x:row>
    <x:row r="347">
      <x:c r="A347" t="str">
        <x:v>PL-01</x:v>
      </x:c>
      <x:c r="B347" t="str">
        <x:v>PO-05</x:v>
      </x:c>
      <x:c r="C347" t="str">
        <x:v>Products &amp; objects</x:v>
      </x:c>
      <x:c r="D347" t="str">
        <x:v>GPT Image 2</x:v>
      </x:c>
      <x:c r="E347" t="str">
        <x:v>A</x:v>
      </x:c>
      <x:c r="F347" t="n">
        <x:v>4</x:v>
      </x:c>
      <x:c r="G347" t="n">
        <x:v>2</x:v>
      </x:c>
      <x:c r="H347" t="n">
        <x:v>46292.374300497686</x:v>
      </x:c>
      <x:c r="I347" t="str">
        <x:v>A perfume bottle with its box slightly open beside it, floating layout on a bright blue gradient background.</x:v>
      </x:c>
      <x:c r="J347" t="str">
        <x:v>benchmark/results/images/openai/4229ba19_PO-05.png</x:v>
      </x:c>
    </x:row>
    <x:row r="348">
      <x:c r="A348" t="str">
        <x:v>PL-01</x:v>
      </x:c>
      <x:c r="B348" t="str">
        <x:v>PO-05</x:v>
      </x:c>
      <x:c r="C348" t="str">
        <x:v>Products &amp; objects</x:v>
      </x:c>
      <x:c r="D348" t="str">
        <x:v>FLUX 2 Pro</x:v>
      </x:c>
      <x:c r="E348" t="str">
        <x:v>B</x:v>
      </x:c>
      <x:c r="F348" t="n">
        <x:v>5</x:v>
      </x:c>
      <x:c r="G348" t="n">
        <x:v>1</x:v>
      </x:c>
      <x:c r="H348" t="n">
        <x:v>46292.374300497686</x:v>
      </x:c>
      <x:c r="I348" t="str">
        <x:v>A perfume bottle with its box slightly open beside it, floating layout on a bright blue gradient background.</x:v>
      </x:c>
      <x:c r="J348" t="str">
        <x:v>benchmark/results/images/bfl/4229ba19_PO-05.png</x:v>
      </x:c>
    </x:row>
    <x:row r="349">
      <x:c r="A349" t="str">
        <x:v>PL-01</x:v>
      </x:c>
      <x:c r="B349" t="str">
        <x:v>PO-05</x:v>
      </x:c>
      <x:c r="C349" t="str">
        <x:v>Products &amp; objects</x:v>
      </x:c>
      <x:c r="D349" t="str">
        <x:v>Gemini 3.1 Flash Image</x:v>
      </x:c>
      <x:c r="E349" t="str">
        <x:v>C</x:v>
      </x:c>
      <x:c r="F349" t="n">
        <x:v>1</x:v>
      </x:c>
      <x:c r="G349" t="n">
        <x:v>5</x:v>
      </x:c>
      <x:c r="H349" t="n">
        <x:v>46292.374300497686</x:v>
      </x:c>
      <x:c r="I349" t="str">
        <x:v>A perfume bottle with its box slightly open beside it, floating layout on a bright blue gradient background.</x:v>
      </x:c>
      <x:c r="J349" t="str">
        <x:v>benchmark/results/images/google/ab9f43fe_PO-05.png</x:v>
      </x:c>
    </x:row>
    <x:row r="350">
      <x:c r="A350" t="str">
        <x:v>PL-01</x:v>
      </x:c>
      <x:c r="B350" t="str">
        <x:v>PO-05</x:v>
      </x:c>
      <x:c r="C350" t="str">
        <x:v>Products &amp; objects</x:v>
      </x:c>
      <x:c r="D350" t="str">
        <x:v>FLUX.2 Klein 4B</x:v>
      </x:c>
      <x:c r="E350" t="str">
        <x:v>D</x:v>
      </x:c>
      <x:c r="F350" t="n">
        <x:v>3</x:v>
      </x:c>
      <x:c r="G350" t="n">
        <x:v>3</x:v>
      </x:c>
      <x:c r="H350" t="n">
        <x:v>46292.374300497686</x:v>
      </x:c>
      <x:c r="I350" t="str">
        <x:v>A perfume bottle with its box slightly open beside it, floating layout on a bright blue gradient background.</x:v>
      </x:c>
      <x:c r="J350" t="str">
        <x:v>benchmark/results/open_source/flux2-klein/q4_k_m/512/images/2a0777a6_PO-05.png</x:v>
      </x:c>
    </x:row>
    <x:row r="351">
      <x:c r="A351" t="str">
        <x:v>PL-01</x:v>
      </x:c>
      <x:c r="B351" t="str">
        <x:v>PO-05</x:v>
      </x:c>
      <x:c r="C351" t="str">
        <x:v>Products &amp; objects</x:v>
      </x:c>
      <x:c r="D351" t="str">
        <x:v>Z-Image Turbo</x:v>
      </x:c>
      <x:c r="E351" t="str">
        <x:v>E</x:v>
      </x:c>
      <x:c r="F351" t="n">
        <x:v>2</x:v>
      </x:c>
      <x:c r="G351" t="n">
        <x:v>4</x:v>
      </x:c>
      <x:c r="H351" t="n">
        <x:v>46292.374300497686</x:v>
      </x:c>
      <x:c r="I351" t="str">
        <x:v>A perfume bottle with its box slightly open beside it, floating layout on a bright blue gradient background.</x:v>
      </x:c>
      <x:c r="J351" t="str">
        <x:v>benchmark/results/open_source/z-image-turbo/w4/512/images/PO-05.png</x:v>
      </x:c>
    </x:row>
    <x:row r="352">
      <x:c r="A352" t="str">
        <x:v>PL-01</x:v>
      </x:c>
      <x:c r="B352" t="str">
        <x:v>CC-01</x:v>
      </x:c>
      <x:c r="C352" t="str">
        <x:v>Complex compositions</x:v>
      </x:c>
      <x:c r="D352" t="str">
        <x:v>FLUX 2 Pro</x:v>
      </x:c>
      <x:c r="E352" t="str">
        <x:v>A</x:v>
      </x:c>
      <x:c r="F352" t="n">
        <x:v>1</x:v>
      </x:c>
      <x:c r="G352" t="n">
        <x:v>5</x:v>
      </x:c>
      <x:c r="H352" t="n">
        <x:v>46292.37445861111</x:v>
      </x:c>
      <x:c r="I352"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352" t="str">
        <x:v>benchmark/results/images/bfl/4229ba19_CC-01.png</x:v>
      </x:c>
    </x:row>
    <x:row r="353">
      <x:c r="A353" t="str">
        <x:v>PL-01</x:v>
      </x:c>
      <x:c r="B353" t="str">
        <x:v>CC-01</x:v>
      </x:c>
      <x:c r="C353" t="str">
        <x:v>Complex compositions</x:v>
      </x:c>
      <x:c r="D353" t="str">
        <x:v>FLUX.2 Klein 4B</x:v>
      </x:c>
      <x:c r="E353" t="str">
        <x:v>B</x:v>
      </x:c>
      <x:c r="F353" t="n">
        <x:v>3</x:v>
      </x:c>
      <x:c r="G353" t="n">
        <x:v>3</x:v>
      </x:c>
      <x:c r="H353" t="n">
        <x:v>46292.37445861111</x:v>
      </x:c>
      <x:c r="I353"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353" t="str">
        <x:v>benchmark/results/open_source/flux2-klein/q4_k_m/512/images/2a0777a6_CC-01.png</x:v>
      </x:c>
    </x:row>
    <x:row r="354">
      <x:c r="A354" t="str">
        <x:v>PL-01</x:v>
      </x:c>
      <x:c r="B354" t="str">
        <x:v>CC-01</x:v>
      </x:c>
      <x:c r="C354" t="str">
        <x:v>Complex compositions</x:v>
      </x:c>
      <x:c r="D354" t="str">
        <x:v>Z-Image Turbo</x:v>
      </x:c>
      <x:c r="E354" t="str">
        <x:v>C</x:v>
      </x:c>
      <x:c r="F354" t="n">
        <x:v>2</x:v>
      </x:c>
      <x:c r="G354" t="n">
        <x:v>4</x:v>
      </x:c>
      <x:c r="H354" t="n">
        <x:v>46292.37445861111</x:v>
      </x:c>
      <x:c r="I354"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354" t="str">
        <x:v>benchmark/results/open_source/z-image-turbo/w4/512/images/CC-01.png</x:v>
      </x:c>
    </x:row>
    <x:row r="355">
      <x:c r="A355" t="str">
        <x:v>PL-01</x:v>
      </x:c>
      <x:c r="B355" t="str">
        <x:v>CC-01</x:v>
      </x:c>
      <x:c r="C355" t="str">
        <x:v>Complex compositions</x:v>
      </x:c>
      <x:c r="D355" t="str">
        <x:v>GPT Image 2</x:v>
      </x:c>
      <x:c r="E355" t="str">
        <x:v>D</x:v>
      </x:c>
      <x:c r="F355" t="n">
        <x:v>5</x:v>
      </x:c>
      <x:c r="G355" t="n">
        <x:v>1</x:v>
      </x:c>
      <x:c r="H355" t="n">
        <x:v>46292.37445861111</x:v>
      </x:c>
      <x:c r="I355"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355" t="str">
        <x:v>benchmark/results/images/openai/4229ba19_CC-01.png</x:v>
      </x:c>
    </x:row>
    <x:row r="356">
      <x:c r="A356" t="str">
        <x:v>PL-01</x:v>
      </x:c>
      <x:c r="B356" t="str">
        <x:v>CC-01</x:v>
      </x:c>
      <x:c r="C356" t="str">
        <x:v>Complex compositions</x:v>
      </x:c>
      <x:c r="D356" t="str">
        <x:v>Gemini 3.1 Flash Image</x:v>
      </x:c>
      <x:c r="E356" t="str">
        <x:v>E</x:v>
      </x:c>
      <x:c r="F356" t="n">
        <x:v>4</x:v>
      </x:c>
      <x:c r="G356" t="n">
        <x:v>2</x:v>
      </x:c>
      <x:c r="H356" t="n">
        <x:v>46292.37445861111</x:v>
      </x:c>
      <x:c r="I356" t="str">
        <x:v>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x:v>
      </x:c>
      <x:c r="J356" t="str">
        <x:v>benchmark/results/images/google/ab9f43fe_CC-01.png</x:v>
      </x:c>
    </x:row>
    <x:row r="357">
      <x:c r="A357" t="str">
        <x:v>PL-01</x:v>
      </x:c>
      <x:c r="B357" t="str">
        <x:v>CC-02</x:v>
      </x:c>
      <x:c r="C357" t="str">
        <x:v>Complex compositions</x:v>
      </x:c>
      <x:c r="D357" t="str">
        <x:v>GPT Image 2</x:v>
      </x:c>
      <x:c r="E357" t="str">
        <x:v>A</x:v>
      </x:c>
      <x:c r="F357" t="n">
        <x:v>2</x:v>
      </x:c>
      <x:c r="G357" t="n">
        <x:v>4</x:v>
      </x:c>
      <x:c r="H357" t="n">
        <x:v>46292.37460138889</x:v>
      </x:c>
      <x:c r="I357"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357" t="str">
        <x:v>benchmark/results/images/openai/4229ba19_CC-02.png</x:v>
      </x:c>
    </x:row>
    <x:row r="358">
      <x:c r="A358" t="str">
        <x:v>PL-01</x:v>
      </x:c>
      <x:c r="B358" t="str">
        <x:v>CC-02</x:v>
      </x:c>
      <x:c r="C358" t="str">
        <x:v>Complex compositions</x:v>
      </x:c>
      <x:c r="D358" t="str">
        <x:v>Z-Image Turbo</x:v>
      </x:c>
      <x:c r="E358" t="str">
        <x:v>B</x:v>
      </x:c>
      <x:c r="F358" t="n">
        <x:v>3</x:v>
      </x:c>
      <x:c r="G358" t="n">
        <x:v>3</x:v>
      </x:c>
      <x:c r="H358" t="n">
        <x:v>46292.37460138889</x:v>
      </x:c>
      <x:c r="I358"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358" t="str">
        <x:v>benchmark/results/open_source/z-image-turbo/w4/512/images/CC-02.png</x:v>
      </x:c>
    </x:row>
    <x:row r="359">
      <x:c r="A359" t="str">
        <x:v>PL-01</x:v>
      </x:c>
      <x:c r="B359" t="str">
        <x:v>CC-02</x:v>
      </x:c>
      <x:c r="C359" t="str">
        <x:v>Complex compositions</x:v>
      </x:c>
      <x:c r="D359" t="str">
        <x:v>Gemini 3.1 Flash Image</x:v>
      </x:c>
      <x:c r="E359" t="str">
        <x:v>C</x:v>
      </x:c>
      <x:c r="F359" t="n">
        <x:v>5</x:v>
      </x:c>
      <x:c r="G359" t="n">
        <x:v>1</x:v>
      </x:c>
      <x:c r="H359" t="n">
        <x:v>46292.37460138889</x:v>
      </x:c>
      <x:c r="I359"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359" t="str">
        <x:v>benchmark/results/images/google/ab9f43fe_CC-02.png</x:v>
      </x:c>
    </x:row>
    <x:row r="360">
      <x:c r="A360" t="str">
        <x:v>PL-01</x:v>
      </x:c>
      <x:c r="B360" t="str">
        <x:v>CC-02</x:v>
      </x:c>
      <x:c r="C360" t="str">
        <x:v>Complex compositions</x:v>
      </x:c>
      <x:c r="D360" t="str">
        <x:v>FLUX.2 Klein 4B</x:v>
      </x:c>
      <x:c r="E360" t="str">
        <x:v>D</x:v>
      </x:c>
      <x:c r="F360" t="n">
        <x:v>4</x:v>
      </x:c>
      <x:c r="G360" t="n">
        <x:v>2</x:v>
      </x:c>
      <x:c r="H360" t="n">
        <x:v>46292.37460138889</x:v>
      </x:c>
      <x:c r="I360"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360" t="str">
        <x:v>benchmark/results/open_source/flux2-klein/q4_k_m/512/images/2a0777a6_CC-02.png</x:v>
      </x:c>
    </x:row>
    <x:row r="361">
      <x:c r="A361" t="str">
        <x:v>PL-01</x:v>
      </x:c>
      <x:c r="B361" t="str">
        <x:v>CC-02</x:v>
      </x:c>
      <x:c r="C361" t="str">
        <x:v>Complex compositions</x:v>
      </x:c>
      <x:c r="D361" t="str">
        <x:v>FLUX 2 Pro</x:v>
      </x:c>
      <x:c r="E361" t="str">
        <x:v>E</x:v>
      </x:c>
      <x:c r="F361" t="n">
        <x:v>1</x:v>
      </x:c>
      <x:c r="G361" t="n">
        <x:v>5</x:v>
      </x:c>
      <x:c r="H361" t="n">
        <x:v>46292.37460138889</x:v>
      </x:c>
      <x:c r="I361" t="str">
        <x:v>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x:v>
      </x:c>
      <x:c r="J361" t="str">
        <x:v>benchmark/results/images/bfl/4229ba19_CC-02.png</x:v>
      </x:c>
    </x:row>
    <x:row r="362">
      <x:c r="A362" t="str">
        <x:v>PL-01</x:v>
      </x:c>
      <x:c r="B362" t="str">
        <x:v>CC-03</x:v>
      </x:c>
      <x:c r="C362" t="str">
        <x:v>Complex compositions</x:v>
      </x:c>
      <x:c r="D362" t="str">
        <x:v>GPT Image 2</x:v>
      </x:c>
      <x:c r="E362" t="str">
        <x:v>A</x:v>
      </x:c>
      <x:c r="F362" t="n">
        <x:v>3</x:v>
      </x:c>
      <x:c r="G362" t="n">
        <x:v>3</x:v>
      </x:c>
      <x:c r="H362" t="n">
        <x:v>46292.374765127315</x:v>
      </x:c>
      <x:c r="I362"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362" t="str">
        <x:v>benchmark/results/images/openai/4229ba19_CC-03.png</x:v>
      </x:c>
    </x:row>
    <x:row r="363">
      <x:c r="A363" t="str">
        <x:v>PL-01</x:v>
      </x:c>
      <x:c r="B363" t="str">
        <x:v>CC-03</x:v>
      </x:c>
      <x:c r="C363" t="str">
        <x:v>Complex compositions</x:v>
      </x:c>
      <x:c r="D363" t="str">
        <x:v>FLUX.2 Klein 4B</x:v>
      </x:c>
      <x:c r="E363" t="str">
        <x:v>B</x:v>
      </x:c>
      <x:c r="F363" t="n">
        <x:v>4</x:v>
      </x:c>
      <x:c r="G363" t="n">
        <x:v>2</x:v>
      </x:c>
      <x:c r="H363" t="n">
        <x:v>46292.374765127315</x:v>
      </x:c>
      <x:c r="I363"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363" t="str">
        <x:v>benchmark/results/open_source/flux2-klein/q4_k_m/512/images/2a0777a6_CC-03.png</x:v>
      </x:c>
    </x:row>
    <x:row r="364">
      <x:c r="A364" t="str">
        <x:v>PL-01</x:v>
      </x:c>
      <x:c r="B364" t="str">
        <x:v>CC-03</x:v>
      </x:c>
      <x:c r="C364" t="str">
        <x:v>Complex compositions</x:v>
      </x:c>
      <x:c r="D364" t="str">
        <x:v>Gemini 3.1 Flash Image</x:v>
      </x:c>
      <x:c r="E364" t="str">
        <x:v>C</x:v>
      </x:c>
      <x:c r="F364" t="n">
        <x:v>5</x:v>
      </x:c>
      <x:c r="G364" t="n">
        <x:v>1</x:v>
      </x:c>
      <x:c r="H364" t="n">
        <x:v>46292.374765127315</x:v>
      </x:c>
      <x:c r="I364"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364" t="str">
        <x:v>benchmark/results/images/google/ab9f43fe_CC-03.png</x:v>
      </x:c>
    </x:row>
    <x:row r="365">
      <x:c r="A365" t="str">
        <x:v>PL-01</x:v>
      </x:c>
      <x:c r="B365" t="str">
        <x:v>CC-03</x:v>
      </x:c>
      <x:c r="C365" t="str">
        <x:v>Complex compositions</x:v>
      </x:c>
      <x:c r="D365" t="str">
        <x:v>Z-Image Turbo</x:v>
      </x:c>
      <x:c r="E365" t="str">
        <x:v>D</x:v>
      </x:c>
      <x:c r="F365" t="n">
        <x:v>2</x:v>
      </x:c>
      <x:c r="G365" t="n">
        <x:v>4</x:v>
      </x:c>
      <x:c r="H365" t="n">
        <x:v>46292.374765127315</x:v>
      </x:c>
      <x:c r="I365"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365" t="str">
        <x:v>benchmark/results/open_source/z-image-turbo/w4/512/images/CC-03.png</x:v>
      </x:c>
    </x:row>
    <x:row r="366">
      <x:c r="A366" t="str">
        <x:v>PL-01</x:v>
      </x:c>
      <x:c r="B366" t="str">
        <x:v>CC-03</x:v>
      </x:c>
      <x:c r="C366" t="str">
        <x:v>Complex compositions</x:v>
      </x:c>
      <x:c r="D366" t="str">
        <x:v>FLUX 2 Pro</x:v>
      </x:c>
      <x:c r="E366" t="str">
        <x:v>E</x:v>
      </x:c>
      <x:c r="F366" t="n">
        <x:v>1</x:v>
      </x:c>
      <x:c r="G366" t="n">
        <x:v>5</x:v>
      </x:c>
      <x:c r="H366" t="n">
        <x:v>46292.374765127315</x:v>
      </x:c>
      <x:c r="I366" t="str">
        <x:v>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x:v>
      </x:c>
      <x:c r="J366" t="str">
        <x:v>benchmark/results/images/bfl/4229ba19_CC-03.png</x:v>
      </x:c>
    </x:row>
    <x:row r="367">
      <x:c r="A367" t="str">
        <x:v>PL-01</x:v>
      </x:c>
      <x:c r="B367" t="str">
        <x:v>CC-04</x:v>
      </x:c>
      <x:c r="C367" t="str">
        <x:v>Complex compositions</x:v>
      </x:c>
      <x:c r="D367" t="str">
        <x:v>Z-Image Turbo</x:v>
      </x:c>
      <x:c r="E367" t="str">
        <x:v>A</x:v>
      </x:c>
      <x:c r="F367" t="n">
        <x:v>2</x:v>
      </x:c>
      <x:c r="G367" t="n">
        <x:v>4</x:v>
      </x:c>
      <x:c r="H367" t="n">
        <x:v>46292.374892962966</x:v>
      </x:c>
      <x:c r="I367"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367" t="str">
        <x:v>benchmark/results/open_source/z-image-turbo/w4/512/images/CC-04.png</x:v>
      </x:c>
    </x:row>
    <x:row r="368">
      <x:c r="A368" t="str">
        <x:v>PL-01</x:v>
      </x:c>
      <x:c r="B368" t="str">
        <x:v>CC-04</x:v>
      </x:c>
      <x:c r="C368" t="str">
        <x:v>Complex compositions</x:v>
      </x:c>
      <x:c r="D368" t="str">
        <x:v>Gemini 3.1 Flash Image</x:v>
      </x:c>
      <x:c r="E368" t="str">
        <x:v>B</x:v>
      </x:c>
      <x:c r="F368" t="n">
        <x:v>3</x:v>
      </x:c>
      <x:c r="G368" t="n">
        <x:v>3</x:v>
      </x:c>
      <x:c r="H368" t="n">
        <x:v>46292.374892962966</x:v>
      </x:c>
      <x:c r="I368"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368" t="str">
        <x:v>benchmark/results/images/google/ab9f43fe_CC-04.png</x:v>
      </x:c>
    </x:row>
    <x:row r="369">
      <x:c r="A369" t="str">
        <x:v>PL-01</x:v>
      </x:c>
      <x:c r="B369" t="str">
        <x:v>CC-04</x:v>
      </x:c>
      <x:c r="C369" t="str">
        <x:v>Complex compositions</x:v>
      </x:c>
      <x:c r="D369" t="str">
        <x:v>FLUX 2 Pro</x:v>
      </x:c>
      <x:c r="E369" t="str">
        <x:v>C</x:v>
      </x:c>
      <x:c r="F369" t="n">
        <x:v>4</x:v>
      </x:c>
      <x:c r="G369" t="n">
        <x:v>2</x:v>
      </x:c>
      <x:c r="H369" t="n">
        <x:v>46292.374892962966</x:v>
      </x:c>
      <x:c r="I369"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369" t="str">
        <x:v>benchmark/results/images/bfl/4229ba19_CC-04.png</x:v>
      </x:c>
    </x:row>
    <x:row r="370">
      <x:c r="A370" t="str">
        <x:v>PL-01</x:v>
      </x:c>
      <x:c r="B370" t="str">
        <x:v>CC-04</x:v>
      </x:c>
      <x:c r="C370" t="str">
        <x:v>Complex compositions</x:v>
      </x:c>
      <x:c r="D370" t="str">
        <x:v>GPT Image 2</x:v>
      </x:c>
      <x:c r="E370" t="str">
        <x:v>D</x:v>
      </x:c>
      <x:c r="F370" t="n">
        <x:v>5</x:v>
      </x:c>
      <x:c r="G370" t="n">
        <x:v>1</x:v>
      </x:c>
      <x:c r="H370" t="n">
        <x:v>46292.374892962966</x:v>
      </x:c>
      <x:c r="I370"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370" t="str">
        <x:v>benchmark/results/images/openai/4229ba19_CC-04.png</x:v>
      </x:c>
    </x:row>
    <x:row r="371">
      <x:c r="A371" t="str">
        <x:v>PL-01</x:v>
      </x:c>
      <x:c r="B371" t="str">
        <x:v>CC-04</x:v>
      </x:c>
      <x:c r="C371" t="str">
        <x:v>Complex compositions</x:v>
      </x:c>
      <x:c r="D371" t="str">
        <x:v>FLUX.2 Klein 4B</x:v>
      </x:c>
      <x:c r="E371" t="str">
        <x:v>E</x:v>
      </x:c>
      <x:c r="F371" t="n">
        <x:v>1</x:v>
      </x:c>
      <x:c r="G371" t="n">
        <x:v>5</x:v>
      </x:c>
      <x:c r="H371" t="n">
        <x:v>46292.374892962966</x:v>
      </x:c>
      <x:c r="I371" t="str">
        <x:v>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x:v>
      </x:c>
      <x:c r="J371" t="str">
        <x:v>benchmark/results/open_source/flux2-klein/q4_k_m/512/images/2a0777a6_CC-04.png</x:v>
      </x:c>
    </x:row>
    <x:row r="372">
      <x:c r="A372" t="str">
        <x:v>PL-01</x:v>
      </x:c>
      <x:c r="B372" t="str">
        <x:v>CC-05</x:v>
      </x:c>
      <x:c r="C372" t="str">
        <x:v>Complex compositions</x:v>
      </x:c>
      <x:c r="D372" t="str">
        <x:v>FLUX.2 Klein 4B</x:v>
      </x:c>
      <x:c r="E372" t="str">
        <x:v>A</x:v>
      </x:c>
      <x:c r="F372" t="n">
        <x:v>4</x:v>
      </x:c>
      <x:c r="G372" t="n">
        <x:v>2</x:v>
      </x:c>
      <x:c r="H372" t="n">
        <x:v>46292.37520149306</x:v>
      </x:c>
      <x:c r="I372"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372" t="str">
        <x:v>benchmark/results/open_source/flux2-klein/q4_k_m/512/images/2a0777a6_CC-05.png</x:v>
      </x:c>
    </x:row>
    <x:row r="373">
      <x:c r="A373" t="str">
        <x:v>PL-01</x:v>
      </x:c>
      <x:c r="B373" t="str">
        <x:v>CC-05</x:v>
      </x:c>
      <x:c r="C373" t="str">
        <x:v>Complex compositions</x:v>
      </x:c>
      <x:c r="D373" t="str">
        <x:v>GPT Image 2</x:v>
      </x:c>
      <x:c r="E373" t="str">
        <x:v>B</x:v>
      </x:c>
      <x:c r="F373" t="n">
        <x:v>5</x:v>
      </x:c>
      <x:c r="G373" t="n">
        <x:v>1</x:v>
      </x:c>
      <x:c r="H373" t="n">
        <x:v>46292.37520149306</x:v>
      </x:c>
      <x:c r="I373"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373" t="str">
        <x:v>benchmark/results/images/openai/4229ba19_CC-05.png</x:v>
      </x:c>
    </x:row>
    <x:row r="374">
      <x:c r="A374" t="str">
        <x:v>PL-01</x:v>
      </x:c>
      <x:c r="B374" t="str">
        <x:v>CC-05</x:v>
      </x:c>
      <x:c r="C374" t="str">
        <x:v>Complex compositions</x:v>
      </x:c>
      <x:c r="D374" t="str">
        <x:v>Gemini 3.1 Flash Image</x:v>
      </x:c>
      <x:c r="E374" t="str">
        <x:v>C</x:v>
      </x:c>
      <x:c r="F374" t="n">
        <x:v>3</x:v>
      </x:c>
      <x:c r="G374" t="n">
        <x:v>3</x:v>
      </x:c>
      <x:c r="H374" t="n">
        <x:v>46292.37520149306</x:v>
      </x:c>
      <x:c r="I374"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374" t="str">
        <x:v>benchmark/results/images/google/ab9f43fe_CC-05.png</x:v>
      </x:c>
    </x:row>
    <x:row r="375">
      <x:c r="A375" t="str">
        <x:v>PL-01</x:v>
      </x:c>
      <x:c r="B375" t="str">
        <x:v>CC-05</x:v>
      </x:c>
      <x:c r="C375" t="str">
        <x:v>Complex compositions</x:v>
      </x:c>
      <x:c r="D375" t="str">
        <x:v>FLUX 2 Pro</x:v>
      </x:c>
      <x:c r="E375" t="str">
        <x:v>D</x:v>
      </x:c>
      <x:c r="F375" t="n">
        <x:v>1</x:v>
      </x:c>
      <x:c r="G375" t="n">
        <x:v>5</x:v>
      </x:c>
      <x:c r="H375" t="n">
        <x:v>46292.37520149306</x:v>
      </x:c>
      <x:c r="I375"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375" t="str">
        <x:v>benchmark/results/images/bfl/4229ba19_CC-05.png</x:v>
      </x:c>
    </x:row>
    <x:row r="376">
      <x:c r="A376" t="str">
        <x:v>PL-01</x:v>
      </x:c>
      <x:c r="B376" t="str">
        <x:v>CC-05</x:v>
      </x:c>
      <x:c r="C376" t="str">
        <x:v>Complex compositions</x:v>
      </x:c>
      <x:c r="D376" t="str">
        <x:v>Z-Image Turbo</x:v>
      </x:c>
      <x:c r="E376" t="str">
        <x:v>E</x:v>
      </x:c>
      <x:c r="F376" t="n">
        <x:v>2</x:v>
      </x:c>
      <x:c r="G376" t="n">
        <x:v>4</x:v>
      </x:c>
      <x:c r="H376" t="n">
        <x:v>46292.37520149306</x:v>
      </x:c>
      <x:c r="I376" t="str">
        <x:v>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x:v>
      </x:c>
      <x:c r="J376" t="str">
        <x:v>benchmark/results/open_source/z-image-turbo/w4/512/images/CC-05.png</x:v>
      </x:c>
    </x:row>
  </x:sheetData>
  <x:pageMargins left="0.7" right="0.7" top="0.75" bottom="0.75" header="0.3" footer="0.3"/>
  <x:tableParts count="1">
    <x:tablePart xmlns:r="http://schemas.openxmlformats.org/officeDocument/2006/relationships" r:id="R660a28dc13554bc3"/>
  </x:tableParts>
</x:worksheet>
</file>

<file path=xl/worksheets/sheet6.xml><?xml version="1.0" encoding="utf-8"?>
<x:worksheet xmlns:x="http://schemas.openxmlformats.org/spreadsheetml/2006/main">
  <x:sheetFormatPr defaultRowHeight="15"/>
  <x:cols>
    <x:col min="1" max="1" width="27" hidden="0" customWidth="1"/>
    <x:col min="2" max="2" width="13" hidden="0" customWidth="1"/>
    <x:col min="3" max="3" width="19" hidden="0" customWidth="1"/>
    <x:col min="4" max="4" width="19" hidden="0" customWidth="1"/>
    <x:col min="5" max="5" width="16" hidden="0" customWidth="1"/>
    <x:col min="6" max="6" width="16" hidden="0" customWidth="1"/>
    <x:col min="7" max="7" width="14" hidden="0" customWidth="1"/>
    <x:col min="8" max="8" width="14" hidden="0" customWidth="1"/>
  </x:cols>
  <x:sheetData>
    <x:row r="1" ht="22" customHeight="1">
      <x:c r="A1" s="60" t="str">
        <x:v>Human Evaluation Summary</x:v>
      </x:c>
      <x:c r="B1" s="60"/>
      <x:c r="C1" s="60"/>
      <x:c r="D1" s="60"/>
      <x:c r="E1" s="60"/>
      <x:c r="F1" s="60"/>
      <x:c r="G1" s="60"/>
      <x:c r="H1" s="60"/>
    </x:row>
    <x:row r="2" ht="38" customHeight="1">
      <x:c r="A2" s="63" t="str">
        <x:v>375 ranked images = 25 prompts × 5 models × 3 evaluator IDs. Rank 1 is best; points are inverse rank (5 = best).</x:v>
      </x:c>
      <x:c r="B2" s="63"/>
      <x:c r="C2" s="63"/>
      <x:c r="D2" s="63"/>
      <x:c r="E2" s="63"/>
      <x:c r="F2" s="63"/>
      <x:c r="G2" s="63"/>
      <x:c r="H2" s="63"/>
    </x:row>
    <x:row r="3" ht="22" customHeight="1"/>
    <x:row r="4" ht="22" customHeight="1">
      <x:c r="A4" s="57" t="str">
        <x:v>Model</x:v>
      </x:c>
      <x:c r="B4" s="57" t="str">
        <x:v>Evaluations</x:v>
      </x:c>
      <x:c r="C4" s="57" t="str">
        <x:v>Avg rank (1=best)</x:v>
      </x:c>
      <x:c r="D4" s="57" t="str">
        <x:v>Avg points (5=best)</x:v>
      </x:c>
      <x:c r="E4" s="57" t="str">
        <x:v>1st-place count</x:v>
      </x:c>
      <x:c r="F4" s="57" t="str">
        <x:v>1st-place share</x:v>
      </x:c>
      <x:c r="G4" s="57" t="str">
        <x:v>Top-2 count</x:v>
      </x:c>
      <x:c r="H4" s="57" t="str">
        <x:v>Top-2 share</x:v>
      </x:c>
    </x:row>
    <x:row r="5" ht="22" customHeight="1">
      <x:c r="A5" t="str">
        <x:v>FLUX.2 Klein 4B</x:v>
      </x:c>
      <x:c r="B5" t="n">
        <x:f>COUNTIF('Human Eval Raw'!$D$2:$D$376,A5)</x:f>
        <x:v>75</x:v>
      </x:c>
      <x:c r="C5" s="34" t="n">
        <x:f>AVERAGEIF('Human Eval Raw'!$D$2:$D$376,A5,'Human Eval Raw'!$F$2:$F$376)</x:f>
        <x:v>3.6</x:v>
      </x:c>
      <x:c r="D5" s="34" t="n">
        <x:f>AVERAGEIF('Human Eval Raw'!$D$2:$D$376,A5,'Human Eval Raw'!$G$2:$G$376)</x:f>
        <x:v>2.4</x:v>
      </x:c>
      <x:c r="E5" t="n">
        <x:f>COUNTIFS('Human Eval Raw'!$D$2:$D$376,A5,'Human Eval Raw'!$F$2:$F$376,1)</x:f>
        <x:v>6</x:v>
      </x:c>
      <x:c r="F5" s="32" t="n">
        <x:f>E5/B5</x:f>
        <x:v>0.08</x:v>
      </x:c>
      <x:c r="G5" t="n">
        <x:f>COUNTIFS('Human Eval Raw'!$D$2:$D$376,A5,'Human Eval Raw'!$F$2:$F$376,"&lt;=2")</x:f>
        <x:v>13</x:v>
      </x:c>
      <x:c r="H5" s="32" t="n">
        <x:f>G5/B5</x:f>
        <x:v>0.17333333333333334</x:v>
      </x:c>
    </x:row>
    <x:row r="6" ht="22" customHeight="1">
      <x:c r="A6" t="str">
        <x:v>Z-Image Turbo</x:v>
      </x:c>
      <x:c r="B6" t="n">
        <x:f>COUNTIF('Human Eval Raw'!$D$2:$D$376,A6)</x:f>
        <x:v>75</x:v>
      </x:c>
      <x:c r="C6" s="34" t="n">
        <x:f>AVERAGEIF('Human Eval Raw'!$D$2:$D$376,A6,'Human Eval Raw'!$F$2:$F$376)</x:f>
        <x:v>3.2933333333333334</x:v>
      </x:c>
      <x:c r="D6" s="34" t="n">
        <x:f>AVERAGEIF('Human Eval Raw'!$D$2:$D$376,A6,'Human Eval Raw'!$G$2:$G$376)</x:f>
        <x:v>2.7066666666666666</x:v>
      </x:c>
      <x:c r="E6" t="n">
        <x:f>COUNTIFS('Human Eval Raw'!$D$2:$D$376,A6,'Human Eval Raw'!$F$2:$F$376,1)</x:f>
        <x:v>9</x:v>
      </x:c>
      <x:c r="F6" s="32" t="n">
        <x:f>E6/B6</x:f>
        <x:v>0.12</x:v>
      </x:c>
      <x:c r="G6" t="n">
        <x:f>COUNTIFS('Human Eval Raw'!$D$2:$D$376,A6,'Human Eval Raw'!$F$2:$F$376,"&lt;=2")</x:f>
        <x:v>25</x:v>
      </x:c>
      <x:c r="H6" s="32" t="n">
        <x:f>G6/B6</x:f>
        <x:v>0.3333333333333333</x:v>
      </x:c>
    </x:row>
    <x:row r="7" ht="22" customHeight="1">
      <x:c r="A7" t="str">
        <x:v>GPT Image 2</x:v>
      </x:c>
      <x:c r="B7" t="n">
        <x:f>COUNTIF('Human Eval Raw'!$D$2:$D$376,A7)</x:f>
        <x:v>75</x:v>
      </x:c>
      <x:c r="C7" s="34" t="n">
        <x:f>AVERAGEIF('Human Eval Raw'!$D$2:$D$376,A7,'Human Eval Raw'!$F$2:$F$376)</x:f>
        <x:v>2.506666666666667</x:v>
      </x:c>
      <x:c r="D7" s="34" t="n">
        <x:f>AVERAGEIF('Human Eval Raw'!$D$2:$D$376,A7,'Human Eval Raw'!$G$2:$G$376)</x:f>
        <x:v>3.493333333333333</x:v>
      </x:c>
      <x:c r="E7" t="n">
        <x:f>COUNTIFS('Human Eval Raw'!$D$2:$D$376,A7,'Human Eval Raw'!$F$2:$F$376,1)</x:f>
        <x:v>26</x:v>
      </x:c>
      <x:c r="F7" s="32" t="n">
        <x:f>E7/B7</x:f>
        <x:v>0.3466666666666667</x:v>
      </x:c>
      <x:c r="G7" t="n">
        <x:f>COUNTIFS('Human Eval Raw'!$D$2:$D$376,A7,'Human Eval Raw'!$F$2:$F$376,"&lt;=2")</x:f>
        <x:v>45</x:v>
      </x:c>
      <x:c r="H7" s="32" t="n">
        <x:f>G7/B7</x:f>
        <x:v>0.6</x:v>
      </x:c>
    </x:row>
    <x:row r="8" ht="22" customHeight="1">
      <x:c r="A8" t="str">
        <x:v>FLUX 2 Pro</x:v>
      </x:c>
      <x:c r="B8" t="n">
        <x:f>COUNTIF('Human Eval Raw'!$D$2:$D$376,A8)</x:f>
        <x:v>75</x:v>
      </x:c>
      <x:c r="C8" s="34" t="n">
        <x:f>AVERAGEIF('Human Eval Raw'!$D$2:$D$376,A8,'Human Eval Raw'!$F$2:$F$376)</x:f>
        <x:v>2.9066666666666667</x:v>
      </x:c>
      <x:c r="D8" s="34" t="n">
        <x:f>AVERAGEIF('Human Eval Raw'!$D$2:$D$376,A8,'Human Eval Raw'!$G$2:$G$376)</x:f>
        <x:v>3.0933333333333333</x:v>
      </x:c>
      <x:c r="E8" t="n">
        <x:f>COUNTIFS('Human Eval Raw'!$D$2:$D$376,A8,'Human Eval Raw'!$F$2:$F$376,1)</x:f>
        <x:v>12</x:v>
      </x:c>
      <x:c r="F8" s="32" t="n">
        <x:f>E8/B8</x:f>
        <x:v>0.16</x:v>
      </x:c>
      <x:c r="G8" t="n">
        <x:f>COUNTIFS('Human Eval Raw'!$D$2:$D$376,A8,'Human Eval Raw'!$F$2:$F$376,"&lt;=2")</x:f>
        <x:v>33</x:v>
      </x:c>
      <x:c r="H8" s="32" t="n">
        <x:f>G8/B8</x:f>
        <x:v>0.44</x:v>
      </x:c>
    </x:row>
    <x:row r="9" ht="22" customHeight="1">
      <x:c r="A9" t="str">
        <x:v>Gemini 3.1 Flash Image</x:v>
      </x:c>
      <x:c r="B9" t="n">
        <x:f>COUNTIF('Human Eval Raw'!$D$2:$D$376,A9)</x:f>
        <x:v>75</x:v>
      </x:c>
      <x:c r="C9" s="34" t="n">
        <x:f>AVERAGEIF('Human Eval Raw'!$D$2:$D$376,A9,'Human Eval Raw'!$F$2:$F$376)</x:f>
        <x:v>2.6933333333333334</x:v>
      </x:c>
      <x:c r="D9" s="34" t="n">
        <x:f>AVERAGEIF('Human Eval Raw'!$D$2:$D$376,A9,'Human Eval Raw'!$G$2:$G$376)</x:f>
        <x:v>3.3066666666666666</x:v>
      </x:c>
      <x:c r="E9" t="n">
        <x:f>COUNTIFS('Human Eval Raw'!$D$2:$D$376,A9,'Human Eval Raw'!$F$2:$F$376,1)</x:f>
        <x:v>22</x:v>
      </x:c>
      <x:c r="F9" s="32" t="n">
        <x:f>E9/B9</x:f>
        <x:v>0.29333333333333333</x:v>
      </x:c>
      <x:c r="G9" t="n">
        <x:f>COUNTIFS('Human Eval Raw'!$D$2:$D$376,A9,'Human Eval Raw'!$F$2:$F$376,"&lt;=2")</x:f>
        <x:v>34</x:v>
      </x:c>
      <x:c r="H9" s="32" t="n">
        <x:f>G9/B9</x:f>
        <x:v>0.4533333333333333</x:v>
      </x:c>
    </x:row>
    <x:row r="10" ht="22" customHeight="1"/>
    <x:row r="11" ht="22" customHeight="1"/>
    <x:row r="12" ht="22" customHeight="1">
      <x:c r="A12" s="65" t="str">
        <x:v>Average Human Rank by Prompt Category (lower is better)</x:v>
      </x:c>
      <x:c r="B12" s="65"/>
      <x:c r="C12" s="65"/>
      <x:c r="D12" s="65"/>
      <x:c r="E12" s="65"/>
      <x:c r="F12" s="65"/>
    </x:row>
    <x:row r="13" ht="22" customHeight="1">
      <x:c r="A13" s="57" t="str">
        <x:v>Category</x:v>
      </x:c>
      <x:c r="B13" s="57" t="str">
        <x:v>FLUX.2 Klein 4B</x:v>
      </x:c>
      <x:c r="C13" s="57" t="str">
        <x:v>Z-Image Turbo</x:v>
      </x:c>
      <x:c r="D13" s="57" t="str">
        <x:v>GPT Image 2</x:v>
      </x:c>
      <x:c r="E13" s="57" t="str">
        <x:v>FLUX 2 Pro</x:v>
      </x:c>
      <x:c r="F13" s="57" t="str">
        <x:v>Gemini 3.1 Flash Image</x:v>
      </x:c>
    </x:row>
    <x:row r="14" ht="22" customHeight="1">
      <x:c r="A14" t="str">
        <x:v>People &amp; lifestyle</x:v>
      </x:c>
      <x:c r="B14" s="34" t="n">
        <x:f>AVERAGEIFS('Human Eval Raw'!$F$2:$F$376,'Human Eval Raw'!$C$2:$C$376,$A14,'Human Eval Raw'!$D$2:$D$376,B$13)</x:f>
        <x:v>3.533333333333333</x:v>
      </x:c>
      <x:c r="C14" s="34" t="n">
        <x:f>AVERAGEIFS('Human Eval Raw'!$F$2:$F$376,'Human Eval Raw'!$C$2:$C$376,$A14,'Human Eval Raw'!$D$2:$D$376,C$13)</x:f>
        <x:v>3.2666666666666666</x:v>
      </x:c>
      <x:c r="D14" s="34" t="n">
        <x:f>AVERAGEIFS('Human Eval Raw'!$F$2:$F$376,'Human Eval Raw'!$C$2:$C$376,$A14,'Human Eval Raw'!$D$2:$D$376,D$13)</x:f>
        <x:v>2.533333333333333</x:v>
      </x:c>
      <x:c r="E14" s="34" t="n">
        <x:f>AVERAGEIFS('Human Eval Raw'!$F$2:$F$376,'Human Eval Raw'!$C$2:$C$376,$A14,'Human Eval Raw'!$D$2:$D$376,E$13)</x:f>
        <x:v>2.8</x:v>
      </x:c>
      <x:c r="F14" s="34" t="n">
        <x:f>AVERAGEIFS('Human Eval Raw'!$F$2:$F$376,'Human Eval Raw'!$C$2:$C$376,$A14,'Human Eval Raw'!$D$2:$D$376,F$13)</x:f>
        <x:v>2.8666666666666667</x:v>
      </x:c>
    </x:row>
    <x:row r="15" ht="22" customHeight="1">
      <x:c r="A15" t="str">
        <x:v>Text &amp; typography</x:v>
      </x:c>
      <x:c r="B15" s="34" t="n">
        <x:f>AVERAGEIFS('Human Eval Raw'!$F$2:$F$376,'Human Eval Raw'!$C$2:$C$376,$A15,'Human Eval Raw'!$D$2:$D$376,B$13)</x:f>
        <x:v>3.4</x:v>
      </x:c>
      <x:c r="C15" s="34" t="n">
        <x:f>AVERAGEIFS('Human Eval Raw'!$F$2:$F$376,'Human Eval Raw'!$C$2:$C$376,$A15,'Human Eval Raw'!$D$2:$D$376,C$13)</x:f>
        <x:v>3.3333333333333335</x:v>
      </x:c>
      <x:c r="D15" s="34" t="n">
        <x:f>AVERAGEIFS('Human Eval Raw'!$F$2:$F$376,'Human Eval Raw'!$C$2:$C$376,$A15,'Human Eval Raw'!$D$2:$D$376,D$13)</x:f>
        <x:v>2.466666666666667</x:v>
      </x:c>
      <x:c r="E15" s="34" t="n">
        <x:f>AVERAGEIFS('Human Eval Raw'!$F$2:$F$376,'Human Eval Raw'!$C$2:$C$376,$A15,'Human Eval Raw'!$D$2:$D$376,E$13)</x:f>
        <x:v>3.1333333333333333</x:v>
      </x:c>
      <x:c r="F15" s="34" t="n">
        <x:f>AVERAGEIFS('Human Eval Raw'!$F$2:$F$376,'Human Eval Raw'!$C$2:$C$376,$A15,'Human Eval Raw'!$D$2:$D$376,F$13)</x:f>
        <x:v>2.6666666666666665</x:v>
      </x:c>
    </x:row>
    <x:row r="16" ht="22" customHeight="1">
      <x:c r="A16" t="str">
        <x:v>Branding &amp; advertising</x:v>
      </x:c>
      <x:c r="B16" s="34" t="n">
        <x:f>AVERAGEIFS('Human Eval Raw'!$F$2:$F$376,'Human Eval Raw'!$C$2:$C$376,$A16,'Human Eval Raw'!$D$2:$D$376,B$13)</x:f>
        <x:v>3.4</x:v>
      </x:c>
      <x:c r="C16" s="34" t="n">
        <x:f>AVERAGEIFS('Human Eval Raw'!$F$2:$F$376,'Human Eval Raw'!$C$2:$C$376,$A16,'Human Eval Raw'!$D$2:$D$376,C$13)</x:f>
        <x:v>3.7333333333333334</x:v>
      </x:c>
      <x:c r="D16" s="34" t="n">
        <x:f>AVERAGEIFS('Human Eval Raw'!$F$2:$F$376,'Human Eval Raw'!$C$2:$C$376,$A16,'Human Eval Raw'!$D$2:$D$376,D$13)</x:f>
        <x:v>2.4</x:v>
      </x:c>
      <x:c r="E16" s="34" t="n">
        <x:f>AVERAGEIFS('Human Eval Raw'!$F$2:$F$376,'Human Eval Raw'!$C$2:$C$376,$A16,'Human Eval Raw'!$D$2:$D$376,E$13)</x:f>
        <x:v>2.8666666666666667</x:v>
      </x:c>
      <x:c r="F16" s="34" t="n">
        <x:f>AVERAGEIFS('Human Eval Raw'!$F$2:$F$376,'Human Eval Raw'!$C$2:$C$376,$A16,'Human Eval Raw'!$D$2:$D$376,F$13)</x:f>
        <x:v>2.6</x:v>
      </x:c>
    </x:row>
    <x:row r="17" ht="22" customHeight="1">
      <x:c r="A17" t="str">
        <x:v>Products &amp; objects</x:v>
      </x:c>
      <x:c r="B17" s="34" t="n">
        <x:f>AVERAGEIFS('Human Eval Raw'!$F$2:$F$376,'Human Eval Raw'!$C$2:$C$376,$A17,'Human Eval Raw'!$D$2:$D$376,B$13)</x:f>
        <x:v>3.7333333333333334</x:v>
      </x:c>
      <x:c r="C17" s="34" t="n">
        <x:f>AVERAGEIFS('Human Eval Raw'!$F$2:$F$376,'Human Eval Raw'!$C$2:$C$376,$A17,'Human Eval Raw'!$D$2:$D$376,C$13)</x:f>
        <x:v>3.3333333333333335</x:v>
      </x:c>
      <x:c r="D17" s="34" t="n">
        <x:f>AVERAGEIFS('Human Eval Raw'!$F$2:$F$376,'Human Eval Raw'!$C$2:$C$376,$A17,'Human Eval Raw'!$D$2:$D$376,D$13)</x:f>
        <x:v>2.6666666666666665</x:v>
      </x:c>
      <x:c r="E17" s="34" t="n">
        <x:f>AVERAGEIFS('Human Eval Raw'!$F$2:$F$376,'Human Eval Raw'!$C$2:$C$376,$A17,'Human Eval Raw'!$D$2:$D$376,E$13)</x:f>
        <x:v>3.2</x:v>
      </x:c>
      <x:c r="F17" s="34" t="n">
        <x:f>AVERAGEIFS('Human Eval Raw'!$F$2:$F$376,'Human Eval Raw'!$C$2:$C$376,$A17,'Human Eval Raw'!$D$2:$D$376,F$13)</x:f>
        <x:v>2.066666666666667</x:v>
      </x:c>
    </x:row>
    <x:row r="18" ht="22" customHeight="1">
      <x:c r="A18" t="str">
        <x:v>Complex compositions</x:v>
      </x:c>
      <x:c r="B18" s="34" t="n">
        <x:f>AVERAGEIFS('Human Eval Raw'!$F$2:$F$376,'Human Eval Raw'!$C$2:$C$376,$A18,'Human Eval Raw'!$D$2:$D$376,B$13)</x:f>
        <x:v>3.933333333333333</x:v>
      </x:c>
      <x:c r="C18" s="34" t="n">
        <x:f>AVERAGEIFS('Human Eval Raw'!$F$2:$F$376,'Human Eval Raw'!$C$2:$C$376,$A18,'Human Eval Raw'!$D$2:$D$376,C$13)</x:f>
        <x:v>2.8</x:v>
      </x:c>
      <x:c r="D18" s="34" t="n">
        <x:f>AVERAGEIFS('Human Eval Raw'!$F$2:$F$376,'Human Eval Raw'!$C$2:$C$376,$A18,'Human Eval Raw'!$D$2:$D$376,D$13)</x:f>
        <x:v>2.466666666666667</x:v>
      </x:c>
      <x:c r="E18" s="34" t="n">
        <x:f>AVERAGEIFS('Human Eval Raw'!$F$2:$F$376,'Human Eval Raw'!$C$2:$C$376,$A18,'Human Eval Raw'!$D$2:$D$376,E$13)</x:f>
        <x:v>2.533333333333333</x:v>
      </x:c>
      <x:c r="F18" s="34" t="n">
        <x:f>AVERAGEIFS('Human Eval Raw'!$F$2:$F$376,'Human Eval Raw'!$C$2:$C$376,$A18,'Human Eval Raw'!$D$2:$D$376,F$13)</x:f>
        <x:v>3.2666666666666666</x:v>
      </x:c>
    </x:row>
    <x:row r="19" ht="22" customHeight="1"/>
    <x:row r="20" ht="22" customHeight="1"/>
    <x:row r="21" ht="22" customHeight="1">
      <x:c r="A21" s="65" t="str">
        <x:v>Data quality check</x:v>
      </x:c>
      <x:c r="B21" s="65"/>
      <x:c r="C21" s="65"/>
      <x:c r="D21" s="65"/>
      <x:c r="E21" s="65"/>
      <x:c r="F21" s="65"/>
      <x:c r="G21" s="65"/>
      <x:c r="H21" s="65"/>
    </x:row>
    <x:row r="22" ht="22" customHeight="1">
      <x:c r="A22" s="57" t="str">
        <x:v>Check</x:v>
      </x:c>
      <x:c r="B22" s="57" t="str">
        <x:v>Result</x:v>
      </x:c>
      <x:c r="C22" s="22" t="str"/>
      <x:c r="D22" s="22" t="str"/>
      <x:c r="E22" s="22" t="str"/>
      <x:c r="F22" s="22" t="str"/>
      <x:c r="G22" s="22" t="str"/>
      <x:c r="H22" s="22" t="str"/>
    </x:row>
    <x:row r="23" ht="22" customHeight="1">
      <x:c r="A23" s="24" t="str">
        <x:v>Ranking completeness</x:v>
      </x:c>
      <x:c r="B23" s="22" t="str">
        <x:v>All 75 evaluator/prompt groups contain all five models and ranks 1–5 exactly once.</x:v>
      </x:c>
      <x:c r="C23" s="22" t="str"/>
      <x:c r="D23" s="22" t="str"/>
      <x:c r="E23" s="22" t="str"/>
      <x:c r="F23" s="22" t="str"/>
      <x:c r="G23" s="22" t="str"/>
      <x:c r="H23" s="22" t="str"/>
    </x:row>
    <x:row r="24" ht="22" customHeight="1">
      <x:c r="A24" s="24" t="str">
        <x:v>Evaluator IDs</x:v>
      </x:c>
      <x:c r="B24" s="22" t="str">
        <x:v>Three IDs are present: E01, E02, and PL-01. Confirm whether PL-01 is the intended third evaluator ID before final submission.</x:v>
      </x:c>
      <x:c r="C24" s="22" t="str"/>
      <x:c r="D24" s="22" t="str"/>
      <x:c r="E24" s="22" t="str"/>
      <x:c r="F24" s="22" t="str"/>
      <x:c r="G24" s="22" t="str"/>
      <x:c r="H24" s="22" t="str"/>
    </x:row>
    <x:row r="25" ht="22" customHeight="1"/>
    <x:row r="26" ht="34" customHeight="1">
      <x:c r="A26" s="63" t="str">
        <x:v>Scope note: this CSV contains overall blind rankings/points only. It does not contain separate columns for prompt adherence, text accuracy, composition, or marketing usefulness, so those dimensions are not inferred here.</x:v>
      </x:c>
      <x:c r="B26" s="63"/>
      <x:c r="C26" s="63"/>
      <x:c r="D26" s="63"/>
      <x:c r="E26" s="63"/>
      <x:c r="F26" s="63"/>
      <x:c r="G26" s="63"/>
      <x:c r="H26" s="63"/>
    </x:row>
    <x:row r="27" ht="34" customHeight="1">
      <x:c r="A27" s="63"/>
      <x:c r="B27" s="63"/>
      <x:c r="C27" s="63"/>
      <x:c r="D27" s="63"/>
      <x:c r="E27" s="63"/>
      <x:c r="F27" s="63"/>
      <x:c r="G27" s="63"/>
      <x:c r="H27" s="63"/>
    </x:row>
  </x:sheetData>
  <x:mergeCells>
    <x:mergeCell ref="A1:H1"/>
    <x:mergeCell ref="A2:H2"/>
    <x:mergeCell ref="A12:F12"/>
    <x:mergeCell ref="A21:H21"/>
    <x:mergeCell ref="B23:H23"/>
    <x:mergeCell ref="B24:H24"/>
    <x:mergeCell ref="A26:H27"/>
  </x:mergeCells>
  <x:conditionalFormatting sqref="C5:C9">
    <x:cfRule type="colorScale" priority="1">
      <x:colorScale>
        <x:cfvo type="min"/>
        <x:cfvo type="percentile" val="50"/>
        <x:cfvo type="max"/>
        <x:color rgb="FFD9EAD3"/>
        <x:color rgb="FFFFF2CC"/>
        <x:color rgb="FFF4CCCC"/>
      </x:colorScale>
    </x:cfRule>
  </x:conditionalFormatting>
  <x:conditionalFormatting sqref="D5:D9">
    <x:cfRule type="colorScale" priority="2">
      <x:colorScale>
        <x:cfvo type="min"/>
        <x:cfvo type="percentile" val="50"/>
        <x:cfvo type="max"/>
        <x:color rgb="FFF4CCCC"/>
        <x:color rgb="FFFFF2CC"/>
        <x:color rgb="FFD9EAD3"/>
      </x:colorScale>
    </x:cfRule>
  </x:conditionalFormatting>
  <x:conditionalFormatting sqref="F5:F9">
    <x:cfRule type="dataBar" priority="3">
      <x:dataBar>
        <x:cfvo type="min"/>
        <x:cfvo type="max"/>
        <x:color rgb="FF156082"/>
      </x:dataBar>
      <x:extLst>
        <x:ext xmlns:x14="http://schemas.microsoft.com/office/spreadsheetml/2009/9/main" uri="{B025F937-C7B1-47D3-B67F-A62EFF666E3E}">
          <x14:id>{C28DB09F-BAA5-A6C4-DDF8-3CCD68A8C113}</x14:id>
        </x:ext>
      </x:extLst>
    </x:cfRule>
  </x:conditionalFormatting>
  <x:conditionalFormatting sqref="B14:F18">
    <x:cfRule type="colorScale" priority="4">
      <x:colorScale>
        <x:cfvo type="min"/>
        <x:cfvo type="percentile" val="50"/>
        <x:cfvo type="max"/>
        <x:color rgb="FFD9EAD3"/>
        <x:color rgb="FFFFF2CC"/>
        <x:color rgb="FFF4CCCC"/>
      </x:colorScale>
    </x:cfRule>
  </x:conditionalFormatting>
  <x:pageMargins left="0.7" right="0.7" top="0.75" bottom="0.75" header="0.3" footer="0.3"/>
  <x:drawing xmlns:r="http://schemas.openxmlformats.org/officeDocument/2006/relationships" r:id="Rdff43be78ed34b92"/>
  <x:extLst>
    <x:ext xmlns:x14="http://schemas.microsoft.com/office/spreadsheetml/2009/9/main" xmlns:xm="http://schemas.microsoft.com/office/excel/2006/main" uri="{78C0D931-6437-407d-A8EE-F0AAD7539E65}">
      <x14:conditionalFormattings>
        <x14:conditionalFormatting>
          <x14:cfRule type="dataBar" priority="3" id="{C28DB09F-BAA5-A6C4-DDF8-3CCD68A8C113}">
            <x14:dataBar gradient="1">
              <x14:cfvo type="min"/>
              <x14:cfvo type="max"/>
              <x14:fillColor rgb="FF156082"/>
            </x14:dataBar>
          </x14:cfRule>
          <xm:sqref>F5:F9</xm:sqref>
        </x14:conditionalFormatting>
      </x14:conditionalFormattings>
    </x:ext>
  </x:extLst>
</x:worksheet>
</file>

<file path=xl/worksheets/sheet7.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16" hidden="0" customWidth="1"/>
    <x:col min="5" max="5" width="13" hidden="0" customWidth="1"/>
    <x:col min="6" max="6" width="17" hidden="0" customWidth="1"/>
    <x:col min="7" max="7" width="19" hidden="0" customWidth="1"/>
    <x:col min="8" max="8" width="18" hidden="0" customWidth="1"/>
    <x:col min="9" max="9" width="18" hidden="0" customWidth="1"/>
    <x:col min="10" max="10" width="15" hidden="0" customWidth="1"/>
    <x:col min="11" max="11" width="15" hidden="0" customWidth="1"/>
    <x:col min="12" max="12" width="52" hidden="0" customWidth="1"/>
  </x:cols>
  <x:sheetData>
    <x:row r="1" ht="23" customHeight="1">
      <x:c r="A1" s="60" t="str">
        <x:v>Commercial vs Open-Source Final Comparison</x:v>
      </x:c>
      <x:c r="B1" s="60"/>
      <x:c r="C1" s="60"/>
      <x:c r="D1" s="60"/>
      <x:c r="E1" s="60"/>
      <x:c r="F1" s="60"/>
      <x:c r="G1" s="60"/>
      <x:c r="H1" s="60"/>
      <x:c r="I1" s="60"/>
      <x:c r="J1" s="60"/>
      <x:c r="K1" s="60"/>
      <x:c r="L1" s="60"/>
    </x:row>
    <x:row r="2" ht="32" customHeight="1">
      <x:c r="A2" s="63" t="str">
        <x:v>Objective benchmark metrics are combined with the uploaded blind human ranking data. Important: open-source models were benchmarked at 512×512 while commercial models were benchmarked at 1024×1024, so observed latency is reported but not treated as a like-for-like speed comparison.</x:v>
      </x:c>
      <x:c r="B2" s="63"/>
      <x:c r="C2" s="63"/>
      <x:c r="D2" s="63"/>
      <x:c r="E2" s="63"/>
      <x:c r="F2" s="63"/>
      <x:c r="G2" s="63"/>
      <x:c r="H2" s="63"/>
      <x:c r="I2" s="63"/>
      <x:c r="J2" s="63"/>
      <x:c r="K2" s="63"/>
      <x:c r="L2" s="63"/>
    </x:row>
    <x:row r="3" ht="32" customHeight="1">
      <x:c r="A3" s="63"/>
      <x:c r="B3" s="63"/>
      <x:c r="C3" s="63"/>
      <x:c r="D3" s="63"/>
      <x:c r="E3" s="63"/>
      <x:c r="F3" s="63"/>
      <x:c r="G3" s="63"/>
      <x:c r="H3" s="63"/>
      <x:c r="I3" s="63"/>
      <x:c r="J3" s="63"/>
      <x:c r="K3" s="63"/>
      <x:c r="L3" s="63"/>
    </x:row>
    <x:row r="4" ht="23" customHeight="1"/>
    <x:row r="5" ht="23" customHeight="1">
      <x:c r="A5" s="57" t="str">
        <x:v>Model</x:v>
      </x:c>
      <x:c r="B5" s="57" t="str">
        <x:v>Type</x:v>
      </x:c>
      <x:c r="C5" s="57" t="str">
        <x:v>Resolution</x:v>
      </x:c>
      <x:c r="D5" s="57" t="str">
        <x:v>Avg latency (s)</x:v>
      </x:c>
      <x:c r="E5" s="57" t="str">
        <x:v>Reliability</x:v>
      </x:c>
      <x:c r="F5" s="57" t="str">
        <x:v>Peak VRAM (MiB)</x:v>
      </x:c>
      <x:c r="G5" s="57" t="str">
        <x:v>Cost / image (USD)</x:v>
      </x:c>
      <x:c r="H5" s="57" t="str">
        <x:v>Human avg rank</x:v>
      </x:c>
      <x:c r="I5" s="57" t="str">
        <x:v>Human avg points</x:v>
      </x:c>
      <x:c r="J5" s="57" t="str">
        <x:v>1st-place share</x:v>
      </x:c>
      <x:c r="K5" s="57" t="str">
        <x:v>Top-2 share</x:v>
      </x:c>
      <x:c r="L5" s="57" t="str">
        <x:v>Observed trade-off</x:v>
      </x:c>
    </x:row>
    <x:row r="6" ht="23" customHeight="1">
      <x:c r="A6" s="22" t="str">
        <x:v>FLUX.2 Klein 4B</x:v>
      </x:c>
      <x:c r="B6" s="22" t="str">
        <x:f>'Objective Summary'!B5</x:f>
        <x:v>Open-source</x:v>
      </x:c>
      <x:c r="C6" s="22" t="str">
        <x:f>'Objective Summary'!D5</x:f>
        <x:v>512×512</x:v>
      </x:c>
      <x:c r="D6" s="41" t="n">
        <x:f>'Objective Summary'!H5</x:f>
        <x:v>6.70516</x:v>
      </x:c>
      <x:c r="E6" s="40" t="n">
        <x:f>'Objective Summary'!F5</x:f>
        <x:v>1</x:v>
      </x:c>
      <x:c r="F6" s="42" t="n">
        <x:f>'Objective Summary'!L5</x:f>
        <x:v>11945</x:v>
      </x:c>
      <x:c r="G6" s="43" t="n">
        <x:f>'Objective Summary'!M5</x:f>
        <x:v>0</x:v>
      </x:c>
      <x:c r="H6" s="41" t="n">
        <x:f>'Human Eval Summary'!C5</x:f>
        <x:v>3.6</x:v>
      </x:c>
      <x:c r="I6" s="41" t="n">
        <x:f>'Human Eval Summary'!D5</x:f>
        <x:v>2.4</x:v>
      </x:c>
      <x:c r="J6" s="40" t="n">
        <x:f>'Human Eval Summary'!F5</x:f>
        <x:v>0.08</x:v>
      </x:c>
      <x:c r="K6" s="40" t="n">
        <x:f>'Human Eval Summary'!H5</x:f>
        <x:v>0.17333333333333334</x:v>
      </x:c>
      <x:c r="L6" s="22" t="str">
        <x:v>Fastest of the two self-hosted models in the supplied 512×512 benchmark, but uses more VRAM and received the lowest average human-evaluation points.</x:v>
      </x:c>
    </x:row>
    <x:row r="7" ht="23" customHeight="1">
      <x:c r="A7" s="22" t="str">
        <x:v>Z-Image Turbo</x:v>
      </x:c>
      <x:c r="B7" s="22" t="str">
        <x:f>'Objective Summary'!B6</x:f>
        <x:v>Open-source</x:v>
      </x:c>
      <x:c r="C7" s="22" t="str">
        <x:f>'Objective Summary'!D6</x:f>
        <x:v>512×512</x:v>
      </x:c>
      <x:c r="D7" s="41" t="n">
        <x:f>'Objective Summary'!H6</x:f>
        <x:v>14.55352</x:v>
      </x:c>
      <x:c r="E7" s="40" t="n">
        <x:f>'Objective Summary'!F6</x:f>
        <x:v>1</x:v>
      </x:c>
      <x:c r="F7" s="42" t="n">
        <x:f>'Objective Summary'!L6</x:f>
        <x:v>8053</x:v>
      </x:c>
      <x:c r="G7" s="43" t="str">
        <x:f>'Objective Summary'!M6</x:f>
      </x:c>
      <x:c r="H7" s="41" t="n">
        <x:f>'Human Eval Summary'!C6</x:f>
        <x:v>3.2933333333333334</x:v>
      </x:c>
      <x:c r="I7" s="41" t="n">
        <x:f>'Human Eval Summary'!D6</x:f>
        <x:v>2.7066666666666666</x:v>
      </x:c>
      <x:c r="J7" s="40" t="n">
        <x:f>'Human Eval Summary'!F6</x:f>
        <x:v>0.12</x:v>
      </x:c>
      <x:c r="K7" s="40" t="n">
        <x:f>'Human Eval Summary'!H6</x:f>
        <x:v>0.3333333333333333</x:v>
      </x:c>
      <x:c r="L7" s="22" t="str">
        <x:v>Uses less VRAM than FLUX.2 Klein and scores slightly higher in human ranking, but has higher observed self-hosted latency.</x:v>
      </x:c>
    </x:row>
    <x:row r="8" ht="23" customHeight="1">
      <x:c r="A8" s="22" t="str">
        <x:v>GPT Image 2</x:v>
      </x:c>
      <x:c r="B8" s="22" t="str">
        <x:f>'Objective Summary'!B7</x:f>
        <x:v>Commercial</x:v>
      </x:c>
      <x:c r="C8" s="22" t="str">
        <x:f>'Objective Summary'!D7</x:f>
        <x:v>1024×1024</x:v>
      </x:c>
      <x:c r="D8" s="41" t="n">
        <x:f>'Objective Summary'!H7</x:f>
        <x:v>44.834</x:v>
      </x:c>
      <x:c r="E8" s="40" t="n">
        <x:f>'Objective Summary'!F7</x:f>
        <x:v>1</x:v>
      </x:c>
      <x:c r="F8" s="42" t="str">
        <x:f>IF('Objective Summary'!L7="","",'Objective Summary'!L7)</x:f>
      </x:c>
      <x:c r="G8" s="43" t="n">
        <x:f>'Objective Summary'!M7</x:f>
        <x:v>0.05</x:v>
      </x:c>
      <x:c r="H8" s="41" t="n">
        <x:f>'Human Eval Summary'!C7</x:f>
        <x:v>2.506666666666667</x:v>
      </x:c>
      <x:c r="I8" s="41" t="n">
        <x:f>'Human Eval Summary'!D7</x:f>
        <x:v>3.493333333333333</x:v>
      </x:c>
      <x:c r="J8" s="40" t="n">
        <x:f>'Human Eval Summary'!F7</x:f>
        <x:v>0.3466666666666667</x:v>
      </x:c>
      <x:c r="K8" s="40" t="n">
        <x:f>'Human Eval Summary'!H7</x:f>
        <x:v>0.6</x:v>
      </x:c>
      <x:c r="L8" s="22" t="str">
        <x:v>Highest average human-evaluation points and first-place share, but also the highest observed latency among the five supplied benchmarks.</x:v>
      </x:c>
    </x:row>
    <x:row r="9" ht="23" customHeight="1">
      <x:c r="A9" s="22" t="str">
        <x:v>FLUX 2 Pro</x:v>
      </x:c>
      <x:c r="B9" s="22" t="str">
        <x:f>'Objective Summary'!B8</x:f>
        <x:v>Commercial</x:v>
      </x:c>
      <x:c r="C9" s="22" t="str">
        <x:f>'Objective Summary'!D8</x:f>
        <x:v>1024×1024</x:v>
      </x:c>
      <x:c r="D9" s="41" t="n">
        <x:f>'Objective Summary'!H8</x:f>
        <x:v>15.28188</x:v>
      </x:c>
      <x:c r="E9" s="40" t="n">
        <x:f>'Objective Summary'!F8</x:f>
        <x:v>1</x:v>
      </x:c>
      <x:c r="F9" s="42" t="str">
        <x:f>IF('Objective Summary'!L8="","",'Objective Summary'!L8)</x:f>
      </x:c>
      <x:c r="G9" s="43" t="n">
        <x:f>'Objective Summary'!M8</x:f>
        <x:v>0.031457</x:v>
      </x:c>
      <x:c r="H9" s="41" t="n">
        <x:f>'Human Eval Summary'!C8</x:f>
        <x:v>2.9066666666666667</x:v>
      </x:c>
      <x:c r="I9" s="41" t="n">
        <x:f>'Human Eval Summary'!D8</x:f>
        <x:v>3.0933333333333333</x:v>
      </x:c>
      <x:c r="J9" s="40" t="n">
        <x:f>'Human Eval Summary'!F8</x:f>
        <x:v>0.16</x:v>
      </x:c>
      <x:c r="K9" s="40" t="n">
        <x:f>'Human Eval Summary'!H8</x:f>
        <x:v>0.44</x:v>
      </x:c>
      <x:c r="L9" s="22" t="str">
        <x:v>Lowest commercial cost/image in the supplied data, with mid-range commercial latency and solid human ranking.</x:v>
      </x:c>
    </x:row>
    <x:row r="10" ht="23" customHeight="1">
      <x:c r="A10" s="22" t="str">
        <x:v>Gemini 3.1 Flash Image</x:v>
      </x:c>
      <x:c r="B10" s="22" t="str">
        <x:f>'Objective Summary'!B9</x:f>
        <x:v>Commercial</x:v>
      </x:c>
      <x:c r="C10" s="22" t="str">
        <x:f>'Objective Summary'!D9</x:f>
        <x:v>1024×1024</x:v>
      </x:c>
      <x:c r="D10" s="41" t="n">
        <x:f>'Objective Summary'!H9</x:f>
        <x:v>8.9076</x:v>
      </x:c>
      <x:c r="E10" s="40" t="n">
        <x:f>'Objective Summary'!F9</x:f>
        <x:v>1</x:v>
      </x:c>
      <x:c r="F10" s="42" t="str">
        <x:f>IF('Objective Summary'!L9="","",'Objective Summary'!L9)</x:f>
      </x:c>
      <x:c r="G10" s="43" t="n">
        <x:f>'Objective Summary'!M9</x:f>
        <x:v>0.067</x:v>
      </x:c>
      <x:c r="H10" s="41" t="n">
        <x:f>'Human Eval Summary'!C9</x:f>
        <x:v>2.6933333333333334</x:v>
      </x:c>
      <x:c r="I10" s="41" t="n">
        <x:f>'Human Eval Summary'!D9</x:f>
        <x:v>3.3066666666666666</x:v>
      </x:c>
      <x:c r="J10" s="40" t="n">
        <x:f>'Human Eval Summary'!F9</x:f>
        <x:v>0.29333333333333333</x:v>
      </x:c>
      <x:c r="K10" s="40" t="n">
        <x:f>'Human Eval Summary'!H9</x:f>
        <x:v>0.4533333333333333</x:v>
      </x:c>
      <x:c r="L10" s="22" t="str">
        <x:v>Fastest observed commercial latency and strong human ranking, but highest commercial cost/image in the supplied data.</x:v>
      </x:c>
    </x:row>
    <x:row r="11" ht="23" customHeight="1"/>
    <x:row r="12" ht="23" customHeight="1"/>
    <x:row r="13" ht="23" customHeight="1">
      <x:c r="A13" s="65" t="str">
        <x:v>Key findings supported by the supplied data</x:v>
      </x:c>
      <x:c r="B13" s="65"/>
      <x:c r="C13" s="65"/>
      <x:c r="D13" s="65"/>
      <x:c r="E13" s="65"/>
      <x:c r="F13" s="65"/>
      <x:c r="G13" s="65"/>
      <x:c r="H13" s="65"/>
      <x:c r="I13" s="65"/>
      <x:c r="J13" s="65"/>
      <x:c r="K13" s="65"/>
      <x:c r="L13" s="65"/>
    </x:row>
    <x:row r="14" ht="23" customHeight="1">
      <x:c r="A14" s="24" t="str">
        <x:v>Human preference</x:v>
      </x:c>
      <x:c r="B14" s="22" t="str">
        <x:v>GPT Image 2 has the strongest overall human ranking in this file (lowest average rank / highest average points); Gemini is next overall.</x:v>
      </x:c>
      <x:c r="C14" s="22" t="str"/>
      <x:c r="D14" s="22" t="str"/>
      <x:c r="E14" s="22" t="str"/>
      <x:c r="F14" s="22" t="str"/>
      <x:c r="G14" s="22" t="str"/>
      <x:c r="H14" s="22" t="str"/>
      <x:c r="I14" s="22" t="str"/>
      <x:c r="J14" s="22" t="str"/>
      <x:c r="K14" s="22" t="str"/>
      <x:c r="L14" s="22" t="str"/>
    </x:row>
    <x:row r="15" ht="23" customHeight="1">
      <x:c r="A15" s="24" t="str">
        <x:v>Self-hosted trade-off</x:v>
      </x:c>
      <x:c r="B15" s="22" t="str">
        <x:v>FLUX.2 Klein is faster than Z-Image Turbo at 512×512, while Z-Image Turbo uses less peak VRAM and scores slightly higher in the human ranking.</x:v>
      </x:c>
      <x:c r="C15" s="22" t="str"/>
      <x:c r="D15" s="22" t="str"/>
      <x:c r="E15" s="22" t="str"/>
      <x:c r="F15" s="22" t="str"/>
      <x:c r="G15" s="22" t="str"/>
      <x:c r="H15" s="22" t="str"/>
      <x:c r="I15" s="22" t="str"/>
      <x:c r="J15" s="22" t="str"/>
      <x:c r="K15" s="22" t="str"/>
      <x:c r="L15" s="22" t="str"/>
    </x:row>
    <x:row r="16" ht="23" customHeight="1">
      <x:c r="A16" s="24" t="str">
        <x:v>Commercial trade-off</x:v>
      </x:c>
      <x:c r="B16" s="22" t="str">
        <x:v>Gemini has the lowest observed commercial latency; FLUX 2 Pro has the lowest recorded commercial cost/image; GPT Image 2 has the strongest human preference.</x:v>
      </x:c>
      <x:c r="C16" s="22" t="str"/>
      <x:c r="D16" s="22" t="str"/>
      <x:c r="E16" s="22" t="str"/>
      <x:c r="F16" s="22" t="str"/>
      <x:c r="G16" s="22" t="str"/>
      <x:c r="H16" s="22" t="str"/>
      <x:c r="I16" s="22" t="str"/>
      <x:c r="J16" s="22" t="str"/>
      <x:c r="K16" s="22" t="str"/>
      <x:c r="L16" s="22" t="str"/>
    </x:row>
    <x:row r="17" ht="23" customHeight="1">
      <x:c r="A17" s="24" t="str">
        <x:v>Category pattern</x:v>
      </x:c>
      <x:c r="B17" s="22" t="str">
        <x:v>GPT Image 2 has the best average human rank in People &amp; lifestyle, Text &amp; typography, Branding &amp; advertising, and narrowly in Complex compositions; Gemini leads Products &amp; objects.</x:v>
      </x:c>
      <x:c r="C17" s="22" t="str"/>
      <x:c r="D17" s="22" t="str"/>
      <x:c r="E17" s="22" t="str"/>
      <x:c r="F17" s="22" t="str"/>
      <x:c r="G17" s="22" t="str"/>
      <x:c r="H17" s="22" t="str"/>
      <x:c r="I17" s="22" t="str"/>
      <x:c r="J17" s="22" t="str"/>
      <x:c r="K17" s="22" t="str"/>
      <x:c r="L17" s="22" t="str"/>
    </x:row>
    <x:row r="18" ht="23" customHeight="1">
      <x:c r="A18" s="24" t="str">
        <x:v>Comparison limitation</x:v>
      </x:c>
      <x:c r="B18" s="22" t="str">
        <x:v>Commercial latency is 1024×1024 while open-source latency is 512×512. Do not present the cross-group latency numbers as a controlled 1:1 speed test.</x:v>
      </x:c>
      <x:c r="C18" s="22" t="str"/>
      <x:c r="D18" s="22" t="str"/>
      <x:c r="E18" s="22" t="str"/>
      <x:c r="F18" s="22" t="str"/>
      <x:c r="G18" s="22" t="str"/>
      <x:c r="H18" s="22" t="str"/>
      <x:c r="I18" s="22" t="str"/>
      <x:c r="J18" s="22" t="str"/>
      <x:c r="K18" s="22" t="str"/>
      <x:c r="L18" s="22" t="str"/>
    </x:row>
    <x:row r="19" ht="23" customHeight="1"/>
    <x:row r="20" ht="23" customHeight="1">
      <x:c r="A20" s="63" t="str">
        <x:v>Human-evaluation limitation: the uploaded file contains overall model rankings/points only. Separate prompt-adherence, composition, text-accuracy, and marketing-usefulness scores are not present, so this workbook does not fabricate those dimensions.</x:v>
      </x:c>
      <x:c r="B20" s="63"/>
      <x:c r="C20" s="63"/>
      <x:c r="D20" s="63"/>
      <x:c r="E20" s="63"/>
      <x:c r="F20" s="63"/>
      <x:c r="G20" s="63"/>
      <x:c r="H20" s="63"/>
      <x:c r="I20" s="63"/>
      <x:c r="J20" s="63"/>
      <x:c r="K20" s="63"/>
      <x:c r="L20" s="63"/>
    </x:row>
    <x:row r="21" ht="23" customHeight="1">
      <x:c r="A21" s="63"/>
      <x:c r="B21" s="63"/>
      <x:c r="C21" s="63"/>
      <x:c r="D21" s="63"/>
      <x:c r="E21" s="63"/>
      <x:c r="F21" s="63"/>
      <x:c r="G21" s="63"/>
      <x:c r="H21" s="63"/>
      <x:c r="I21" s="63"/>
      <x:c r="J21" s="63"/>
      <x:c r="K21" s="63"/>
      <x:c r="L21" s="63"/>
    </x:row>
  </x:sheetData>
  <x:mergeCells>
    <x:mergeCell ref="A1:L1"/>
    <x:mergeCell ref="A2:L3"/>
    <x:mergeCell ref="A13:L13"/>
    <x:mergeCell ref="B14:L14"/>
    <x:mergeCell ref="B15:L15"/>
    <x:mergeCell ref="B16:L16"/>
    <x:mergeCell ref="B17:L17"/>
    <x:mergeCell ref="B18:L18"/>
    <x:mergeCell ref="A20:L21"/>
  </x:mergeCells>
  <x:conditionalFormatting sqref="I6:I10">
    <x:cfRule type="colorScale" priority="1">
      <x:colorScale>
        <x:cfvo type="min"/>
        <x:cfvo type="percentile" val="50"/>
        <x:cfvo type="max"/>
        <x:color rgb="FFF4CCCC"/>
        <x:color rgb="FFFFF2CC"/>
        <x:color rgb="FFD9EAD3"/>
      </x:colorScale>
    </x:cfRule>
  </x:conditionalFormatting>
  <x:conditionalFormatting sqref="D6:D10">
    <x:cfRule type="dataBar" priority="2">
      <x:dataBar>
        <x:cfvo type="min"/>
        <x:cfvo type="max"/>
        <x:color rgb="FF156082"/>
      </x:dataBar>
      <x:extLst>
        <x:ext xmlns:x14="http://schemas.microsoft.com/office/spreadsheetml/2009/9/main" uri="{B025F937-C7B1-47D3-B67F-A62EFF666E3E}">
          <x14:id>{5E806C20-1AB2-CCCD-17B5-33A9A6E4326A}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5E806C20-1AB2-CCCD-17B5-33A9A6E4326A}">
            <x14:dataBar gradient="1">
              <x14:cfvo type="min"/>
              <x14:cfvo type="max"/>
              <x14:fillColor rgb="FF156082"/>
            </x14:dataBar>
          </x14:cfRule>
          <xm:sqref>D6:D10</xm:sqref>
        </x14:conditionalFormatting>
      </x14:conditionalFormattings>
    </x:ext>
  </x:extLst>
</x:worksheet>
</file>